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RTM" sheetId="2" state="visible" r:id="rId2"/>
    <sheet name="Resumen Ejecutivo" sheetId="3" state="visible" r:id="rId3"/>
  </sheets>
  <definedNames>
    <definedName name="_xlnm._FilterDatabase" localSheetId="0" hidden="1">'Test Cases'!$A$1:$Q$403</definedName>
    <definedName name="_xlnm._FilterDatabase" localSheetId="1" hidden="1">'RTM'!$A$1:$F$403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sz val="10"/>
    </font>
    <font>
      <name val="Arial"/>
      <b val="1"/>
      <color rgb="009C0006"/>
      <sz val="10"/>
    </font>
    <font>
      <name val="Arial"/>
      <b val="1"/>
      <color rgb="00974706"/>
      <sz val="10"/>
    </font>
    <font>
      <name val="Arial"/>
      <b val="1"/>
      <color rgb="007F6000"/>
      <sz val="10"/>
    </font>
    <font>
      <name val="Arial"/>
      <b val="1"/>
      <color rgb="00006100"/>
      <sz val="10"/>
    </font>
    <font>
      <name val="Arial"/>
      <b val="1"/>
      <color rgb="00FFFFFF"/>
      <sz val="10"/>
    </font>
    <font>
      <name val="Arial"/>
      <b val="1"/>
      <sz val="13"/>
    </font>
    <font>
      <name val="Arial"/>
      <b val="1"/>
      <sz val="10"/>
    </font>
  </fonts>
  <fills count="7">
    <fill>
      <patternFill/>
    </fill>
    <fill>
      <patternFill patternType="gray125"/>
    </fill>
    <fill>
      <patternFill patternType="solid">
        <fgColor rgb="00FFC7CE"/>
      </patternFill>
    </fill>
    <fill>
      <patternFill patternType="solid">
        <fgColor rgb="00FFD8B0"/>
      </patternFill>
    </fill>
    <fill>
      <patternFill patternType="solid">
        <fgColor rgb="00FFF2A8"/>
      </patternFill>
    </fill>
    <fill>
      <patternFill patternType="solid">
        <fgColor rgb="00C6EFCE"/>
      </patternFill>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6" fillId="6" borderId="0" applyAlignment="1" pivotButton="0" quotePrefix="0" xfId="0">
      <alignment horizontal="center" vertical="center" wrapText="1"/>
    </xf>
    <xf numFmtId="0" fontId="1" fillId="0" borderId="1" applyAlignment="1" pivotButton="0" quotePrefix="0" xfId="0">
      <alignment vertical="top" wrapText="1"/>
    </xf>
    <xf numFmtId="0" fontId="2" fillId="2"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7" fillId="0" borderId="0" pivotButton="0" quotePrefix="0" xfId="0"/>
    <xf numFmtId="0" fontId="8"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3"/>
  <sheetViews>
    <sheetView workbookViewId="0">
      <pane ySplit="1" topLeftCell="A2" activePane="bottomLeft" state="frozen"/>
      <selection pane="bottomLeft" activeCell="A1" sqref="A1"/>
    </sheetView>
  </sheetViews>
  <sheetFormatPr baseColWidth="8" defaultRowHeight="15"/>
  <cols>
    <col width="9" customWidth="1" min="1" max="1"/>
    <col width="17" customWidth="1" min="2" max="2"/>
    <col width="14" customWidth="1" min="3" max="3"/>
    <col width="17" customWidth="1" min="4" max="4"/>
    <col width="20" customWidth="1" min="5" max="5"/>
    <col width="42" customWidth="1" min="6" max="6"/>
    <col width="10" customWidth="1" min="7" max="7"/>
    <col width="30" customWidth="1" min="8" max="8"/>
    <col width="48" customWidth="1" min="9" max="9"/>
    <col width="42" customWidth="1" min="10" max="10"/>
    <col width="14" customWidth="1" min="11" max="11"/>
    <col width="10" customWidth="1" min="12" max="12"/>
    <col width="8" customWidth="1" min="13" max="13"/>
    <col width="10" customWidth="1" min="14" max="14"/>
    <col width="10" customWidth="1" min="15" max="15"/>
    <col width="10" customWidth="1" min="16" max="16"/>
    <col width="10" customWidth="1" min="17" max="17"/>
  </cols>
  <sheetData>
    <row r="1">
      <c r="A1" s="1" t="inlineStr">
        <is>
          <t>Epic</t>
        </is>
      </c>
      <c r="B1" s="1" t="inlineStr">
        <is>
          <t>Test Case ID</t>
        </is>
      </c>
      <c r="C1" s="1" t="inlineStr">
        <is>
          <t>Test Category</t>
        </is>
      </c>
      <c r="D1" s="1" t="inlineStr">
        <is>
          <t>Test Sub-category</t>
        </is>
      </c>
      <c r="E1" s="1" t="inlineStr">
        <is>
          <t>Feature / Module</t>
        </is>
      </c>
      <c r="F1" s="1" t="inlineStr">
        <is>
          <t>Test Description</t>
        </is>
      </c>
      <c r="G1" s="1" t="inlineStr">
        <is>
          <t>Platform / Type</t>
        </is>
      </c>
      <c r="H1" s="1" t="inlineStr">
        <is>
          <t>Preconditions</t>
        </is>
      </c>
      <c r="I1" s="1" t="inlineStr">
        <is>
          <t>Test Steps</t>
        </is>
      </c>
      <c r="J1" s="1" t="inlineStr">
        <is>
          <t>Expected Result</t>
        </is>
      </c>
      <c r="K1" s="1" t="inlineStr">
        <is>
          <t>Actual Result</t>
        </is>
      </c>
      <c r="L1" s="1" t="inlineStr">
        <is>
          <t>Status</t>
        </is>
      </c>
      <c r="M1" s="1" t="inlineStr">
        <is>
          <t>Priority</t>
        </is>
      </c>
      <c r="N1" s="1" t="inlineStr">
        <is>
          <t>Severity</t>
        </is>
      </c>
      <c r="O1" s="1" t="inlineStr">
        <is>
          <t>Tester</t>
        </is>
      </c>
      <c r="P1" s="1" t="inlineStr">
        <is>
          <t>Test Date</t>
        </is>
      </c>
      <c r="Q1" s="1" t="inlineStr">
        <is>
          <t>Comments</t>
        </is>
      </c>
    </row>
    <row r="2">
      <c r="A2" s="2" t="inlineStr">
        <is>
          <t>EPIC-00</t>
        </is>
      </c>
      <c r="B2" s="2" t="inlineStr">
        <is>
          <t>TC-CEPA-001-001</t>
        </is>
      </c>
      <c r="C2" s="2" t="inlineStr">
        <is>
          <t>Functional</t>
        </is>
      </c>
      <c r="D2" s="2" t="inlineStr">
        <is>
          <t>Inicio de sesión</t>
        </is>
      </c>
      <c r="E2" s="2" t="inlineStr">
        <is>
          <t>Servicio de autenticación JWT</t>
        </is>
      </c>
      <c r="F2" s="2" t="inlineStr">
        <is>
          <t>Verificar que un usuario activo con credenciales válidas obtiene un token JWT firmado sobre SSL/TLS y es redirigido al panel de su rol</t>
        </is>
      </c>
      <c r="G2" s="2" t="inlineStr">
        <is>
          <t>Web/API</t>
        </is>
      </c>
      <c r="H2" s="2" t="inlineStr">
        <is>
          <t>Usuario activo existente (ej. perfil Administrativo) con credenciales conocidas; sistema desplegado con certificado TLS válido</t>
        </is>
      </c>
      <c r="I2" s="2" t="inlineStr">
        <is>
          <t>1. Navegar a la pantalla de inicio de sesión por HTTPS. 2. Ingresar usuario 'admin.cepa' y contraseña válida 'Cepa2026!'. 3. Hacer clic en 'Ingresar'. 4. Inspeccionar la respuesta del endpoint /api/v1/auth/login (token emitido y firma).</t>
        </is>
      </c>
      <c r="J2" s="2" t="inlineStr">
        <is>
          <t>El sistema emite un token JWT firmado, lo entrega sobre conexión SSL/TLS y redirige al panel correspondiente al rol del usuario</t>
        </is>
      </c>
      <c r="K2" s="2" t="inlineStr"/>
      <c r="L2" s="2" t="inlineStr"/>
      <c r="M2" s="2" t="inlineStr">
        <is>
          <t>P0</t>
        </is>
      </c>
      <c r="N2" s="3" t="inlineStr">
        <is>
          <t>Critical</t>
        </is>
      </c>
      <c r="O2" s="2" t="inlineStr"/>
      <c r="P2" s="2" t="inlineStr"/>
      <c r="Q2" s="2" t="inlineStr">
        <is>
          <t>S1</t>
        </is>
      </c>
    </row>
    <row r="3">
      <c r="A3" s="2" t="inlineStr">
        <is>
          <t>EPIC-00</t>
        </is>
      </c>
      <c r="B3" s="2" t="inlineStr">
        <is>
          <t>TC-CEPA-001-002</t>
        </is>
      </c>
      <c r="C3" s="2" t="inlineStr">
        <is>
          <t>Functional</t>
        </is>
      </c>
      <c r="D3" s="2" t="inlineStr">
        <is>
          <t>Renovación de sesión</t>
        </is>
      </c>
      <c r="E3" s="2" t="inlineStr">
        <is>
          <t>Servicio de refresh de tokens</t>
        </is>
      </c>
      <c r="F3" s="2" t="inlineStr">
        <is>
          <t>Verificar que la sesión se renueva de forma transparente con el refresh token vigente cuando el token de acceso expira</t>
        </is>
      </c>
      <c r="G3" s="2" t="inlineStr">
        <is>
          <t>Web/API</t>
        </is>
      </c>
      <c r="H3" s="2" t="inlineStr">
        <is>
          <t>Sesión activa con access token expirado (expiración corta) y refresh token vigente</t>
        </is>
      </c>
      <c r="I3" s="2" t="inlineStr">
        <is>
          <t>1. Iniciar sesión y esperar (o forzar) la expiración del access token. 2. Ejecutar una acción que requiere token (ej. GET /api/v1/usuarios/me). 3. Observar el flujo de renovación contra /api/v1/auth/refresh.</t>
        </is>
      </c>
      <c r="J3" s="2" t="inlineStr">
        <is>
          <t>El sistema renueva el JWT usando el refresh token sin solicitar credenciales nuevamente y la acción del usuario se completa de forma transparente</t>
        </is>
      </c>
      <c r="K3" s="2" t="inlineStr"/>
      <c r="L3" s="2" t="inlineStr"/>
      <c r="M3" s="2" t="inlineStr">
        <is>
          <t>P0</t>
        </is>
      </c>
      <c r="N3" s="3" t="inlineStr">
        <is>
          <t>Critical</t>
        </is>
      </c>
      <c r="O3" s="2" t="inlineStr"/>
      <c r="P3" s="2" t="inlineStr"/>
      <c r="Q3" s="2" t="inlineStr">
        <is>
          <t>S1</t>
        </is>
      </c>
    </row>
    <row r="4">
      <c r="A4" s="2" t="inlineStr">
        <is>
          <t>EPIC-00</t>
        </is>
      </c>
      <c r="B4" s="2" t="inlineStr">
        <is>
          <t>TC-CEPA-001-003</t>
        </is>
      </c>
      <c r="C4" s="2" t="inlineStr">
        <is>
          <t>Security</t>
        </is>
      </c>
      <c r="D4" s="2" t="inlineStr">
        <is>
          <t>Bloqueo por intentos fallidos</t>
        </is>
      </c>
      <c r="E4" s="2" t="inlineStr">
        <is>
          <t>Control de intentos de autenticación</t>
        </is>
      </c>
      <c r="F4" s="2" t="inlineStr">
        <is>
          <t>Verificar que la cuenta se bloquea temporalmente al alcanzar N intentos fallidos y el evento queda en el log de auditoría</t>
        </is>
      </c>
      <c r="G4" s="2" t="inlineStr">
        <is>
          <t>Web/API</t>
        </is>
      </c>
      <c r="H4" s="2" t="inlineStr">
        <is>
          <t>Usuario activo con N-1 intentos fallidos previos consecutivos; parámetro N configurado (ej. N=5)</t>
        </is>
      </c>
      <c r="I4" s="2" t="inlineStr">
        <is>
          <t>1. En la pantalla de login, ingresar usuario 'admin.cepa' con contraseña errónea 'ClaveMala1'. 2. Confirmar el intento fallido N. 3. Intentar iniciar sesión con la contraseña correcta. 4. Consultar el log de auditoría con sesión Coordinación.</t>
        </is>
      </c>
      <c r="J4" s="2" t="inlineStr">
        <is>
          <t>La cuenta queda bloqueada temporalmente (rechaza incluso credenciales correctas durante el bloqueo) y el evento de bloqueo queda registrado en el log de auditoría</t>
        </is>
      </c>
      <c r="K4" s="2" t="inlineStr"/>
      <c r="L4" s="2" t="inlineStr"/>
      <c r="M4" s="2" t="inlineStr">
        <is>
          <t>P0</t>
        </is>
      </c>
      <c r="N4" s="3" t="inlineStr">
        <is>
          <t>Critical</t>
        </is>
      </c>
      <c r="O4" s="2" t="inlineStr"/>
      <c r="P4" s="2" t="inlineStr"/>
      <c r="Q4" s="2" t="inlineStr">
        <is>
          <t>S3</t>
        </is>
      </c>
    </row>
    <row r="5">
      <c r="A5" s="2" t="inlineStr">
        <is>
          <t>EPIC-00</t>
        </is>
      </c>
      <c r="B5" s="2" t="inlineStr">
        <is>
          <t>TC-CEPA-001-004</t>
        </is>
      </c>
      <c r="C5" s="2" t="inlineStr">
        <is>
          <t>Security</t>
        </is>
      </c>
      <c r="D5" s="2" t="inlineStr">
        <is>
          <t>Rechazo de acceso no autorizado</t>
        </is>
      </c>
      <c r="E5" s="2" t="inlineStr">
        <is>
          <t>Middleware de autorización API</t>
        </is>
      </c>
      <c r="F5" s="2" t="inlineStr">
        <is>
          <t>Verificar que la API rechaza peticiones sin cifrado o con token inválido/expirado con HTTP 401 sin exponer datos</t>
        </is>
      </c>
      <c r="G5" s="2" t="inlineStr">
        <is>
          <t>API</t>
        </is>
      </c>
      <c r="H5" s="2" t="inlineStr">
        <is>
          <t>Endpoint protegido disponible (ej. GET /api/v1/pacientes); token JWT expirado y token con firma alterada preparados</t>
        </is>
      </c>
      <c r="I5" s="2" t="inlineStr">
        <is>
          <t>1. Llamar al endpoint protegido sin encabezado Authorization. 2. Llamar al endpoint con token expirado. 3. Llamar al endpoint con token de firma inválida. 4. Intentar conectarse al endpoint por HTTP plano (sin TLS).</t>
        </is>
      </c>
      <c r="J5" s="2" t="inlineStr">
        <is>
          <t>En todos los casos el sistema responde con código HTTP de no autorizado (401) o rechaza la conexión no cifrada, sin exponer datos sensibles en el cuerpo de la respuesta</t>
        </is>
      </c>
      <c r="K5" s="2" t="inlineStr"/>
      <c r="L5" s="2" t="inlineStr"/>
      <c r="M5" s="2" t="inlineStr">
        <is>
          <t>P0</t>
        </is>
      </c>
      <c r="N5" s="3" t="inlineStr">
        <is>
          <t>Critical</t>
        </is>
      </c>
      <c r="O5" s="2" t="inlineStr"/>
      <c r="P5" s="2" t="inlineStr"/>
      <c r="Q5" s="2" t="inlineStr">
        <is>
          <t>S3</t>
        </is>
      </c>
    </row>
    <row r="6">
      <c r="A6" s="2" t="inlineStr">
        <is>
          <t>EPIC-00</t>
        </is>
      </c>
      <c r="B6" s="2" t="inlineStr">
        <is>
          <t>TC-CEPA-001-005</t>
        </is>
      </c>
      <c r="C6" s="2" t="inlineStr">
        <is>
          <t>Business Rules</t>
        </is>
      </c>
      <c r="D6" s="2" t="inlineStr">
        <is>
          <t>Desbloqueo de cuenta</t>
        </is>
      </c>
      <c r="E6" s="2" t="inlineStr">
        <is>
          <t>Control de intentos de autenticación</t>
        </is>
      </c>
      <c r="F6" s="2" t="inlineStr">
        <is>
          <t>Verificar que una cuenta bloqueada se desbloquea por transcurso del tiempo configurado o por intervención de Coordinación</t>
        </is>
      </c>
      <c r="G6" s="2" t="inlineStr">
        <is>
          <t>Web</t>
        </is>
      </c>
      <c r="H6" s="2" t="inlineStr">
        <is>
          <t>Cuenta de usuario bloqueada temporalmente por N intentos fallidos; tiempo de bloqueo configurado (ej. 15 minutos); sesión Coordinación disponible</t>
        </is>
      </c>
      <c r="I6" s="2" t="inlineStr">
        <is>
          <t>1. Con la cuenta bloqueada, esperar a que transcurra el tiempo de bloqueo configurado. 2. Iniciar sesión con credenciales correctas. 3. Bloquear nuevamente la cuenta. 4. Con sesión Coordinación, desbloquear manualmente la cuenta desde gestión de usuarios. 5. Iniciar sesión con credenciales correctas.</t>
        </is>
      </c>
      <c r="J6" s="2" t="inlineStr">
        <is>
          <t>En ambos escenarios (por tiempo y por intervención de Coordinación) el usuario recupera el acceso e inicia sesión correctamente tras el desbloqueo</t>
        </is>
      </c>
      <c r="K6" s="2" t="inlineStr"/>
      <c r="L6" s="2" t="inlineStr"/>
      <c r="M6" s="2" t="inlineStr">
        <is>
          <t>P0</t>
        </is>
      </c>
      <c r="N6" s="4" t="inlineStr">
        <is>
          <t>Major</t>
        </is>
      </c>
      <c r="O6" s="2" t="inlineStr"/>
      <c r="P6" s="2" t="inlineStr"/>
      <c r="Q6" s="2" t="inlineStr">
        <is>
          <t>BR-3</t>
        </is>
      </c>
    </row>
    <row r="7">
      <c r="A7" s="2" t="inlineStr">
        <is>
          <t>EPIC-00</t>
        </is>
      </c>
      <c r="B7" s="2" t="inlineStr">
        <is>
          <t>TC-CEPA-001-006</t>
        </is>
      </c>
      <c r="C7" s="2" t="inlineStr">
        <is>
          <t>Security</t>
        </is>
      </c>
      <c r="D7" s="2" t="inlineStr">
        <is>
          <t>Contenido del payload JWT</t>
        </is>
      </c>
      <c r="E7" s="2" t="inlineStr">
        <is>
          <t>Servicio de autenticación JWT</t>
        </is>
      </c>
      <c r="F7" s="2" t="inlineStr">
        <is>
          <t>Verificar que el payload del JWT solo porta identidad de usuario y rol, sin datos sensibles de salud mental</t>
        </is>
      </c>
      <c r="G7" s="2" t="inlineStr">
        <is>
          <t>API</t>
        </is>
      </c>
      <c r="H7" s="2" t="inlineStr">
        <is>
          <t>Usuario activo con acceso a módulos con datos clínicos; sesión iniciada correctamente</t>
        </is>
      </c>
      <c r="I7" s="2" t="inlineStr">
        <is>
          <t>1. Iniciar sesión con usuario válido y capturar el token JWT emitido. 2. Decodificar el payload del JWT (Base64). 3. Revisar los claims presentes en el payload.</t>
        </is>
      </c>
      <c r="J7" s="2" t="inlineStr">
        <is>
          <t>El payload contiene únicamente identidad de usuario y rol (y claims técnicos estándar); no incluye ningún dato clínico ni sensible de salud mental de pacientes</t>
        </is>
      </c>
      <c r="K7" s="2" t="inlineStr"/>
      <c r="L7" s="2" t="inlineStr"/>
      <c r="M7" s="2" t="inlineStr">
        <is>
          <t>P0</t>
        </is>
      </c>
      <c r="N7" s="3" t="inlineStr">
        <is>
          <t>Critical</t>
        </is>
      </c>
      <c r="O7" s="2" t="inlineStr"/>
      <c r="P7" s="2" t="inlineStr"/>
      <c r="Q7" s="2" t="inlineStr">
        <is>
          <t>BR-4</t>
        </is>
      </c>
    </row>
    <row r="8">
      <c r="A8" s="2" t="inlineStr">
        <is>
          <t>EPIC-00</t>
        </is>
      </c>
      <c r="B8" s="2" t="inlineStr">
        <is>
          <t>TC-CEPA-001-007</t>
        </is>
      </c>
      <c r="C8" s="2" t="inlineStr">
        <is>
          <t>Business Rules</t>
        </is>
      </c>
      <c r="D8" s="2" t="inlineStr">
        <is>
          <t>Trazabilidad de login</t>
        </is>
      </c>
      <c r="E8" s="2" t="inlineStr">
        <is>
          <t>Motor de registro de auditoría</t>
        </is>
      </c>
      <c r="F8" s="2" t="inlineStr">
        <is>
          <t>Verificar que todo intento de inicio de sesión (éxito y fallo) genera traza en el log de auditoría</t>
        </is>
      </c>
      <c r="G8" s="2" t="inlineStr">
        <is>
          <t>Web</t>
        </is>
      </c>
      <c r="H8" s="2" t="inlineStr">
        <is>
          <t>Usuario activo existente; acceso al log de auditoría con sesión Coordinación</t>
        </is>
      </c>
      <c r="I8" s="2" t="inlineStr">
        <is>
          <t>1. Realizar un inicio de sesión exitoso con 'admin.cepa'. 2. Cerrar sesión y realizar un intento fallido con contraseña errónea. 3. Con sesión Coordinación, abrir el log de auditoría y filtrar por el usuario y la fecha actual.</t>
        </is>
      </c>
      <c r="J8" s="2" t="inlineStr">
        <is>
          <t>El log muestra una traza por el login exitoso y otra por el intento fallido, cada una con usuario, tipo de evento y fecha/hora</t>
        </is>
      </c>
      <c r="K8" s="2" t="inlineStr"/>
      <c r="L8" s="2" t="inlineStr"/>
      <c r="M8" s="2" t="inlineStr">
        <is>
          <t>P0</t>
        </is>
      </c>
      <c r="N8" s="4" t="inlineStr">
        <is>
          <t>Major</t>
        </is>
      </c>
      <c r="O8" s="2" t="inlineStr"/>
      <c r="P8" s="2" t="inlineStr"/>
      <c r="Q8" s="2" t="inlineStr">
        <is>
          <t>BR-5</t>
        </is>
      </c>
    </row>
    <row r="9">
      <c r="A9" s="2" t="inlineStr">
        <is>
          <t>EPIC-00</t>
        </is>
      </c>
      <c r="B9" s="2" t="inlineStr">
        <is>
          <t>TC-CEPA-001-008</t>
        </is>
      </c>
      <c r="C9" s="2" t="inlineStr">
        <is>
          <t>Security</t>
        </is>
      </c>
      <c r="D9" s="2" t="inlineStr">
        <is>
          <t>Mensaje de error genérico</t>
        </is>
      </c>
      <c r="E9" s="2" t="inlineStr">
        <is>
          <t>Servicio de autenticación JWT</t>
        </is>
      </c>
      <c r="F9" s="2" t="inlineStr">
        <is>
          <t>Verificar que ante una contraseña incorrecta el sistema rechaza el acceso con mensaje genérico sin revelar qué campo falló</t>
        </is>
      </c>
      <c r="G9" s="2" t="inlineStr">
        <is>
          <t>Web</t>
        </is>
      </c>
      <c r="H9" s="2" t="inlineStr">
        <is>
          <t>Usuario activo existente 'admin.cepa'</t>
        </is>
      </c>
      <c r="I9" s="2" t="inlineStr">
        <is>
          <t>1. Navegar a la pantalla de inicio de sesión. 2. Ingresar usuario 'admin.cepa' y contraseña errónea 'ClaveMala1'. 3. Hacer clic en 'Ingresar'. 4. Leer el mensaje de error mostrado.</t>
        </is>
      </c>
      <c r="J9" s="2" t="inlineStr">
        <is>
          <t>El sistema rechaza el acceso mostrando un mensaje genérico (ej. 'Credenciales inválidas') sin revelar si el error fue en el usuario o en la contraseña</t>
        </is>
      </c>
      <c r="K9" s="2" t="inlineStr"/>
      <c r="L9" s="2" t="inlineStr"/>
      <c r="M9" s="2" t="inlineStr">
        <is>
          <t>P0</t>
        </is>
      </c>
      <c r="N9" s="4" t="inlineStr">
        <is>
          <t>Major</t>
        </is>
      </c>
      <c r="O9" s="2" t="inlineStr"/>
      <c r="P9" s="2" t="inlineStr"/>
      <c r="Q9" s="2" t="inlineStr">
        <is>
          <t>TC-legacy</t>
        </is>
      </c>
    </row>
    <row r="10">
      <c r="A10" s="2" t="inlineStr">
        <is>
          <t>EPIC-00</t>
        </is>
      </c>
      <c r="B10" s="2" t="inlineStr">
        <is>
          <t>TC-CEPA-002-001</t>
        </is>
      </c>
      <c r="C10" s="2" t="inlineStr">
        <is>
          <t>Functional</t>
        </is>
      </c>
      <c r="D10" s="2" t="inlineStr">
        <is>
          <t>Alta de usuario</t>
        </is>
      </c>
      <c r="E10" s="2" t="inlineStr">
        <is>
          <t>Módulo de gestión de usuarios</t>
        </is>
      </c>
      <c r="F10" s="2" t="inlineStr">
        <is>
          <t>Verificar que Coordinación crea un usuario asignándole un perfil válido y este queda habilitado y visible en el listado</t>
        </is>
      </c>
      <c r="G10" s="2" t="inlineStr">
        <is>
          <t>Web</t>
        </is>
      </c>
      <c r="H10" s="2" t="inlineStr">
        <is>
          <t>Sesión iniciada con perfil Coordinación; módulo de gestión de usuarios disponible</t>
        </is>
      </c>
      <c r="I10" s="2" t="inlineStr">
        <is>
          <t>1. Abrir el módulo de gestión de usuarios. 2. Hacer clic en 'Crear usuario'. 3. Ingresar datos válidos: nombre 'María Pérez', RUT 12.345.678-5, correo 'maria.perez@utalca.cl'. 4. Asignar el perfil 'Administrativo'. 5. Hacer clic en 'Guardar'. 6. Buscar al usuario en el listado e iniciar sesión con la nueva cuenta.</t>
        </is>
      </c>
      <c r="J10" s="2" t="inlineStr">
        <is>
          <t>El usuario queda creado y habilitado con los permisos del perfil Administrativo y aparece en el listado de usuarios</t>
        </is>
      </c>
      <c r="K10" s="2" t="inlineStr"/>
      <c r="L10" s="2" t="inlineStr"/>
      <c r="M10" s="2" t="inlineStr">
        <is>
          <t>P0</t>
        </is>
      </c>
      <c r="N10" s="3" t="inlineStr">
        <is>
          <t>Critical</t>
        </is>
      </c>
      <c r="O10" s="2" t="inlineStr"/>
      <c r="P10" s="2" t="inlineStr"/>
      <c r="Q10" s="2" t="inlineStr">
        <is>
          <t>S1</t>
        </is>
      </c>
    </row>
    <row r="11">
      <c r="A11" s="2" t="inlineStr">
        <is>
          <t>EPIC-00</t>
        </is>
      </c>
      <c r="B11" s="2" t="inlineStr">
        <is>
          <t>TC-CEPA-002-002</t>
        </is>
      </c>
      <c r="C11" s="2" t="inlineStr">
        <is>
          <t>Business Rules</t>
        </is>
      </c>
      <c r="D11" s="2" t="inlineStr">
        <is>
          <t>Catálogo cerrado de perfiles</t>
        </is>
      </c>
      <c r="E11" s="2" t="inlineStr">
        <is>
          <t>Módulo de gestión de usuarios</t>
        </is>
      </c>
      <c r="F11" s="2" t="inlineStr">
        <is>
          <t>Verificar que el sistema solo ofrece los perfiles Coordinación, Administrativo y Auditor y no existe el perfil Clínico</t>
        </is>
      </c>
      <c r="G11" s="2" t="inlineStr">
        <is>
          <t>Web/API</t>
        </is>
      </c>
      <c r="H11" s="2" t="inlineStr">
        <is>
          <t>Sesión iniciada con perfil Coordinación en el formulario de alta de usuario</t>
        </is>
      </c>
      <c r="I11" s="2" t="inlineStr">
        <is>
          <t>1. Abrir el formulario de creación de usuario. 2. Desplegar el selector de perfil y revisar las opciones disponibles. 3. Intentar crear un usuario vía API POST /api/v1/usuarios con rol 'Clinico'.</t>
        </is>
      </c>
      <c r="J11" s="2" t="inlineStr">
        <is>
          <t>El selector ofrece únicamente Coordinación, Administrativo y Auditor; el perfil 'Clínico' no está disponible y la API rechaza el rol no permitido con error de validación</t>
        </is>
      </c>
      <c r="K11" s="2" t="inlineStr"/>
      <c r="L11" s="2" t="inlineStr"/>
      <c r="M11" s="2" t="inlineStr">
        <is>
          <t>P0</t>
        </is>
      </c>
      <c r="N11" s="4" t="inlineStr">
        <is>
          <t>Major</t>
        </is>
      </c>
      <c r="O11" s="2" t="inlineStr"/>
      <c r="P11" s="2" t="inlineStr"/>
      <c r="Q11" s="2" t="inlineStr">
        <is>
          <t>S4</t>
        </is>
      </c>
    </row>
    <row r="12">
      <c r="A12" s="2" t="inlineStr">
        <is>
          <t>EPIC-00</t>
        </is>
      </c>
      <c r="B12" s="2" t="inlineStr">
        <is>
          <t>TC-CEPA-002-003</t>
        </is>
      </c>
      <c r="C12" s="2" t="inlineStr">
        <is>
          <t>Security</t>
        </is>
      </c>
      <c r="D12" s="2" t="inlineStr">
        <is>
          <t>RBAC solo lectura Auditor</t>
        </is>
      </c>
      <c r="E12" s="2" t="inlineStr">
        <is>
          <t>Motor de permisos RBAC</t>
        </is>
      </c>
      <c r="F12" s="2" t="inlineStr">
        <is>
          <t>Verificar que el perfil Auditor solo puede leer datos clínicos y toda acción de edición está bloqueada</t>
        </is>
      </c>
      <c r="G12" s="2" t="inlineStr">
        <is>
          <t>Web/API</t>
        </is>
      </c>
      <c r="H12" s="2" t="inlineStr">
        <is>
          <t>Usuario con perfil Auditor autenticado; existe al menos un registro con datos clínicos (ej. ingreso de paciente)</t>
        </is>
      </c>
      <c r="I12" s="2" t="inlineStr">
        <is>
          <t>1. Iniciar sesión como Auditor. 2. Abrir un módulo con datos clínicos (ej. Ingresos). 3. Verificar la disponibilidad de botones de edición/eliminación en la UI. 4. Intentar editar el registro vía API PUT /api/v1/ingresos/{id} con el token del Auditor.</t>
        </is>
      </c>
      <c r="J12" s="2" t="inlineStr">
        <is>
          <t>El sistema permite solo lectura: los controles de edición están deshabilitados/ocultos en la UI y la API responde con código de acceso prohibido sin modificar datos</t>
        </is>
      </c>
      <c r="K12" s="2" t="inlineStr"/>
      <c r="L12" s="2" t="inlineStr"/>
      <c r="M12" s="2" t="inlineStr">
        <is>
          <t>P0</t>
        </is>
      </c>
      <c r="N12" s="3" t="inlineStr">
        <is>
          <t>Critical</t>
        </is>
      </c>
      <c r="O12" s="2" t="inlineStr"/>
      <c r="P12" s="2" t="inlineStr"/>
      <c r="Q12" s="2" t="inlineStr">
        <is>
          <t>S3</t>
        </is>
      </c>
    </row>
    <row r="13">
      <c r="A13" s="2" t="inlineStr">
        <is>
          <t>EPIC-00</t>
        </is>
      </c>
      <c r="B13" s="2" t="inlineStr">
        <is>
          <t>TC-CEPA-002-004</t>
        </is>
      </c>
      <c r="C13" s="2" t="inlineStr">
        <is>
          <t>Security</t>
        </is>
      </c>
      <c r="D13" s="2" t="inlineStr">
        <is>
          <t>RBAC gestión de usuarios</t>
        </is>
      </c>
      <c r="E13" s="2" t="inlineStr">
        <is>
          <t>Motor de permisos RBAC</t>
        </is>
      </c>
      <c r="F13" s="2" t="inlineStr">
        <is>
          <t>Verificar que el perfil Administrativo no puede acceder a la gestión de usuarios ni crear/editar usuarios</t>
        </is>
      </c>
      <c r="G13" s="2" t="inlineStr">
        <is>
          <t>Web/API</t>
        </is>
      </c>
      <c r="H13" s="2" t="inlineStr">
        <is>
          <t>Usuario con perfil Administrativo autenticado</t>
        </is>
      </c>
      <c r="I13" s="2" t="inlineStr">
        <is>
          <t>1. Iniciar sesión como Administrativo. 2. Intentar abrir el módulo de gestión de usuarios desde el menú. 3. Intentar crear un usuario vía API POST /api/v1/usuarios con el token del Administrativo.</t>
        </is>
      </c>
      <c r="J13" s="2" t="inlineStr">
        <is>
          <t>El sistema deniega la operación por falta de permisos tanto en la UI (módulo no accesible) como en la API (código de acceso prohibido)</t>
        </is>
      </c>
      <c r="K13" s="2" t="inlineStr"/>
      <c r="L13" s="2" t="inlineStr"/>
      <c r="M13" s="2" t="inlineStr">
        <is>
          <t>P0</t>
        </is>
      </c>
      <c r="N13" s="3" t="inlineStr">
        <is>
          <t>Critical</t>
        </is>
      </c>
      <c r="O13" s="2" t="inlineStr"/>
      <c r="P13" s="2" t="inlineStr"/>
      <c r="Q13" s="2" t="inlineStr">
        <is>
          <t>S3</t>
        </is>
      </c>
    </row>
    <row r="14">
      <c r="A14" s="2" t="inlineStr">
        <is>
          <t>EPIC-00</t>
        </is>
      </c>
      <c r="B14" s="2" t="inlineStr">
        <is>
          <t>TC-CEPA-002-005</t>
        </is>
      </c>
      <c r="C14" s="2" t="inlineStr">
        <is>
          <t>Functional</t>
        </is>
      </c>
      <c r="D14" s="2" t="inlineStr">
        <is>
          <t>Desactivación de usuario</t>
        </is>
      </c>
      <c r="E14" s="2" t="inlineStr">
        <is>
          <t>Módulo de gestión de usuarios</t>
        </is>
      </c>
      <c r="F14" s="2" t="inlineStr">
        <is>
          <t>Verificar que al desactivar un usuario este pierde el acceso de inmediato y el cambio queda en el log de auditoría</t>
        </is>
      </c>
      <c r="G14" s="2" t="inlineStr">
        <is>
          <t>Web/API</t>
        </is>
      </c>
      <c r="H14" s="2" t="inlineStr">
        <is>
          <t>Usuario activo por desvincular con sesión iniciada; sesión Coordinación en gestión de usuarios</t>
        </is>
      </c>
      <c r="I14" s="2" t="inlineStr">
        <is>
          <t>1. Con sesión Coordinación, abrir la ficha del usuario 'maria.perez'. 2. Hacer clic en 'Desactivar' y confirmar. 3. Con la sesión del usuario desactivado, intentar ejecutar una operación (ej. abrir un módulo o llamar a la API). 4. Intentar un nuevo inicio de sesión con las credenciales del usuario desactivado. 5. Consultar el log de auditoría filtrando por el usuario.</t>
        </is>
      </c>
      <c r="J14" s="2" t="inlineStr">
        <is>
          <t>El acceso se revoca de inmediato (las operaciones y el nuevo login son rechazados) y la desactivación queda registrada en el log de auditoría con quién/qué/cuándo</t>
        </is>
      </c>
      <c r="K14" s="2" t="inlineStr"/>
      <c r="L14" s="2" t="inlineStr"/>
      <c r="M14" s="2" t="inlineStr">
        <is>
          <t>P0</t>
        </is>
      </c>
      <c r="N14" s="3" t="inlineStr">
        <is>
          <t>Critical</t>
        </is>
      </c>
      <c r="O14" s="2" t="inlineStr"/>
      <c r="P14" s="2" t="inlineStr"/>
      <c r="Q14" s="2" t="inlineStr">
        <is>
          <t>S2</t>
        </is>
      </c>
    </row>
    <row r="15">
      <c r="A15" s="2" t="inlineStr">
        <is>
          <t>EPIC-00</t>
        </is>
      </c>
      <c r="B15" s="2" t="inlineStr">
        <is>
          <t>TC-CEPA-002-006</t>
        </is>
      </c>
      <c r="C15" s="2" t="inlineStr">
        <is>
          <t>Business Rules</t>
        </is>
      </c>
      <c r="D15" s="2" t="inlineStr">
        <is>
          <t>Matriz permisos por módulo</t>
        </is>
      </c>
      <c r="E15" s="2" t="inlineStr">
        <is>
          <t>Motor de permisos RBAC</t>
        </is>
      </c>
      <c r="F15" s="2" t="inlineStr">
        <is>
          <t>Verificar la matriz de permisos diferenciados por módulo: Administrativo con CRUD en módulos operativos asignados y solo lectura donde corresponda</t>
        </is>
      </c>
      <c r="G15" s="2" t="inlineStr">
        <is>
          <t>Web/API</t>
        </is>
      </c>
      <c r="H15" s="2" t="inlineStr">
        <is>
          <t>Matriz módulo × perfil definida; usuario Administrativo autenticado con módulos operativos asignados (ej. Ingresos, Fármacos)</t>
        </is>
      </c>
      <c r="I15" s="2" t="inlineStr">
        <is>
          <t>1. Iniciar sesión como Administrativo. 2. En un módulo operativo asignado (ej. Ingresos), crear, editar y eliminar un registro de prueba. 3. Abrir un módulo donde el perfil tiene solo lectura e intentar editar. 4. Repetir la verificación vía API con el token del Administrativo.</t>
        </is>
      </c>
      <c r="J15" s="2" t="inlineStr">
        <is>
          <t>El Administrativo ejecuta CRUD correctamente en sus módulos operativos asignados y el sistema bloquea la edición en los módulos de solo lectura, conforme a la matriz módulo × perfil</t>
        </is>
      </c>
      <c r="K15" s="2" t="inlineStr"/>
      <c r="L15" s="2" t="inlineStr"/>
      <c r="M15" s="2" t="inlineStr">
        <is>
          <t>P0</t>
        </is>
      </c>
      <c r="N15" s="3" t="inlineStr">
        <is>
          <t>Critical</t>
        </is>
      </c>
      <c r="O15" s="2" t="inlineStr"/>
      <c r="P15" s="2" t="inlineStr"/>
      <c r="Q15" s="2" t="inlineStr">
        <is>
          <t>BR-2</t>
        </is>
      </c>
    </row>
    <row r="16">
      <c r="A16" s="2" t="inlineStr">
        <is>
          <t>EPIC-00</t>
        </is>
      </c>
      <c r="B16" s="2" t="inlineStr">
        <is>
          <t>TC-CEPA-002-007</t>
        </is>
      </c>
      <c r="C16" s="2" t="inlineStr">
        <is>
          <t>Security</t>
        </is>
      </c>
      <c r="D16" s="2" t="inlineStr">
        <is>
          <t>Acceso Auditor a reportes</t>
        </is>
      </c>
      <c r="E16" s="2" t="inlineStr">
        <is>
          <t>Motor de permisos RBAC</t>
        </is>
      </c>
      <c r="F16" s="2" t="inlineStr">
        <is>
          <t>Verificar que el perfil Auditor tiene lectura total y acceso al módulo de Auditoría y reportes de cumplimiento</t>
        </is>
      </c>
      <c r="G16" s="2" t="inlineStr">
        <is>
          <t>Web</t>
        </is>
      </c>
      <c r="H16" s="2" t="inlineStr">
        <is>
          <t>Usuario con perfil Auditor autenticado; existen datos en los módulos operativos y trazas de auditoría</t>
        </is>
      </c>
      <c r="I16" s="2" t="inlineStr">
        <is>
          <t>1. Iniciar sesión como Auditor. 2. Recorrer los módulos operativos (Ingresos, Fármacos, EPT, etc.) verificando el acceso en modo lectura. 3. Abrir el módulo de Auditoría. 4. Abrir los reportes de cumplimiento.</t>
        </is>
      </c>
      <c r="J16" s="2" t="inlineStr">
        <is>
          <t>El Auditor accede en lectura a todos los módulos, incluido el módulo de Auditoría y los reportes de cumplimiento, sin opción alguna de edición</t>
        </is>
      </c>
      <c r="K16" s="2" t="inlineStr"/>
      <c r="L16" s="2" t="inlineStr"/>
      <c r="M16" s="2" t="inlineStr">
        <is>
          <t>P0</t>
        </is>
      </c>
      <c r="N16" s="4" t="inlineStr">
        <is>
          <t>Major</t>
        </is>
      </c>
      <c r="O16" s="2" t="inlineStr"/>
      <c r="P16" s="2" t="inlineStr"/>
      <c r="Q16" s="2" t="inlineStr">
        <is>
          <t>BR-3</t>
        </is>
      </c>
    </row>
    <row r="17">
      <c r="A17" s="2" t="inlineStr">
        <is>
          <t>EPIC-00</t>
        </is>
      </c>
      <c r="B17" s="2" t="inlineStr">
        <is>
          <t>TC-CEPA-002-008</t>
        </is>
      </c>
      <c r="C17" s="2" t="inlineStr">
        <is>
          <t>Business Rules</t>
        </is>
      </c>
      <c r="D17" s="2" t="inlineStr">
        <is>
          <t>Sin límite de cupos</t>
        </is>
      </c>
      <c r="E17" s="2" t="inlineStr">
        <is>
          <t>Módulo de gestión de usuarios</t>
        </is>
      </c>
      <c r="F17" s="2" t="inlineStr">
        <is>
          <t>Verificar que se pueden crear múltiples usuarios del mismo perfil sin límite fijo de cupos (alta rotación)</t>
        </is>
      </c>
      <c r="G17" s="2" t="inlineStr">
        <is>
          <t>Web</t>
        </is>
      </c>
      <c r="H17" s="2" t="inlineStr">
        <is>
          <t>Sesión Coordinación en gestión de usuarios; contexto de alta rotación de personal</t>
        </is>
      </c>
      <c r="I17" s="2" t="inlineStr">
        <is>
          <t>1. Abrir el módulo de gestión de usuarios. 2. Crear 10 usuarios consecutivos con perfil Administrativo y datos válidos distintos (RUTs 11.111.111-1, 22.222.222-2, etc.). 3. Revisar el listado de usuarios.</t>
        </is>
      </c>
      <c r="J17" s="2" t="inlineStr">
        <is>
          <t>Todos los usuarios se crean correctamente sin que el sistema imponga un límite de cupo por perfil</t>
        </is>
      </c>
      <c r="K17" s="2" t="inlineStr"/>
      <c r="L17" s="2" t="inlineStr"/>
      <c r="M17" s="2" t="inlineStr">
        <is>
          <t>P0</t>
        </is>
      </c>
      <c r="N17" s="5" t="inlineStr">
        <is>
          <t>Medium</t>
        </is>
      </c>
      <c r="O17" s="2" t="inlineStr"/>
      <c r="P17" s="2" t="inlineStr"/>
      <c r="Q17" s="2" t="inlineStr">
        <is>
          <t>BR-6</t>
        </is>
      </c>
    </row>
    <row r="18">
      <c r="A18" s="2" t="inlineStr">
        <is>
          <t>EPIC-00</t>
        </is>
      </c>
      <c r="B18" s="2" t="inlineStr">
        <is>
          <t>TC-CEPA-002-009</t>
        </is>
      </c>
      <c r="C18" s="2" t="inlineStr">
        <is>
          <t>Business Rules</t>
        </is>
      </c>
      <c r="D18" s="2" t="inlineStr">
        <is>
          <t>Trazabilidad de gestión de usuarios</t>
        </is>
      </c>
      <c r="E18" s="2" t="inlineStr">
        <is>
          <t>Motor de registro de auditoría</t>
        </is>
      </c>
      <c r="F18" s="2" t="inlineStr">
        <is>
          <t>Verificar que toda alta y cambio de rol de un usuario queda registrado en el log de auditoría</t>
        </is>
      </c>
      <c r="G18" s="2" t="inlineStr">
        <is>
          <t>Web</t>
        </is>
      </c>
      <c r="H18" s="2" t="inlineStr">
        <is>
          <t>Sesión Coordinación; acceso de lectura al log de auditoría</t>
        </is>
      </c>
      <c r="I18" s="2" t="inlineStr">
        <is>
          <t>1. Crear un usuario nuevo con perfil Administrativo. 2. Editar el usuario y cambiar su perfil a Auditor. 3. Abrir el log de auditoría y filtrar por el módulo de gestión de usuarios y la fecha actual.</t>
        </is>
      </c>
      <c r="J18" s="2" t="inlineStr">
        <is>
          <t>El log muestra una traza por el alta del usuario y otra por el cambio de rol, cada una con usuario ejecutor, operación, registro afectado y fecha/hora</t>
        </is>
      </c>
      <c r="K18" s="2" t="inlineStr"/>
      <c r="L18" s="2" t="inlineStr"/>
      <c r="M18" s="2" t="inlineStr">
        <is>
          <t>P0</t>
        </is>
      </c>
      <c r="N18" s="4" t="inlineStr">
        <is>
          <t>Major</t>
        </is>
      </c>
      <c r="O18" s="2" t="inlineStr"/>
      <c r="P18" s="2" t="inlineStr"/>
      <c r="Q18" s="2" t="inlineStr">
        <is>
          <t>BR-7</t>
        </is>
      </c>
    </row>
    <row r="19">
      <c r="A19" s="2" t="inlineStr">
        <is>
          <t>EPIC-00</t>
        </is>
      </c>
      <c r="B19" s="2" t="inlineStr">
        <is>
          <t>TC-CEPA-003-001</t>
        </is>
      </c>
      <c r="C19" s="2" t="inlineStr">
        <is>
          <t>Functional</t>
        </is>
      </c>
      <c r="D19" s="2" t="inlineStr">
        <is>
          <t>Registro automático de trazas</t>
        </is>
      </c>
      <c r="E19" s="2" t="inlineStr">
        <is>
          <t>Motor de registro de auditoría</t>
        </is>
      </c>
      <c r="F19" s="2" t="inlineStr">
        <is>
          <t>Verificar que toda operación CRUD confirmada genera automáticamente una traza con usuario, operación, registro afectado y fecha/hora</t>
        </is>
      </c>
      <c r="G19" s="2" t="inlineStr">
        <is>
          <t>Web/API</t>
        </is>
      </c>
      <c r="H19" s="2" t="inlineStr">
        <is>
          <t>Usuario Administrativo autenticado con permisos CRUD en un módulo operativo; acceso al log con sesión Coordinación</t>
        </is>
      </c>
      <c r="I19" s="2" t="inlineStr">
        <is>
          <t>1. Como Administrativo, crear un registro (ej. nuevo ingreso de paciente con RUT 12.345.678-5). 2. Actualizar un campo del registro. 3. Eliminar el registro. 4. Con sesión Coordinación, abrir el log de auditoría y filtrar por el usuario y la fecha actual.</t>
        </is>
      </c>
      <c r="J19" s="2" t="inlineStr">
        <is>
          <t>El log muestra una traza por cada operación (crear, actualizar, eliminar) con usuario, tipo de operación, registro afectado y fecha/hora exactos</t>
        </is>
      </c>
      <c r="K19" s="2" t="inlineStr"/>
      <c r="L19" s="2" t="inlineStr"/>
      <c r="M19" s="2" t="inlineStr">
        <is>
          <t>P0</t>
        </is>
      </c>
      <c r="N19" s="3" t="inlineStr">
        <is>
          <t>Critical</t>
        </is>
      </c>
      <c r="O19" s="2" t="inlineStr"/>
      <c r="P19" s="2" t="inlineStr"/>
      <c r="Q19" s="2" t="inlineStr">
        <is>
          <t>S1</t>
        </is>
      </c>
    </row>
    <row r="20">
      <c r="A20" s="2" t="inlineStr">
        <is>
          <t>EPIC-00</t>
        </is>
      </c>
      <c r="B20" s="2" t="inlineStr">
        <is>
          <t>TC-CEPA-003-002</t>
        </is>
      </c>
      <c r="C20" s="2" t="inlineStr">
        <is>
          <t>Security</t>
        </is>
      </c>
      <c r="D20" s="2" t="inlineStr">
        <is>
          <t>Inmutabilidad del log</t>
        </is>
      </c>
      <c r="E20" s="2" t="inlineStr">
        <is>
          <t>Almacén inmutable de auditoría</t>
        </is>
      </c>
      <c r="F20" s="2" t="inlineStr">
        <is>
          <t>Verificar que ninguna traza del log de auditoría puede modificarse ni eliminarse por ningún perfil, incluido un administrador</t>
        </is>
      </c>
      <c r="G20" s="2" t="inlineStr">
        <is>
          <t>Web/API</t>
        </is>
      </c>
      <c r="H20" s="2" t="inlineStr">
        <is>
          <t>Existe al menos una traza en el log de auditoría; sesiones disponibles de Coordinación y credenciales de máximo privilegio</t>
        </is>
      </c>
      <c r="I20" s="2" t="inlineStr">
        <is>
          <t>1. Con sesión Coordinación, abrir el log y verificar que la UI no ofrece acciones de edición/eliminación de trazas. 2. Intentar modificar una traza vía API PUT/PATCH /api/v1/auditoria/{id}. 3. Intentar eliminar una traza vía API DELETE /api/v1/auditoria/{id}. 4. Verificar el estado de la traza tras los intentos.</t>
        </is>
      </c>
      <c r="J20" s="2" t="inlineStr">
        <is>
          <t>Todas las operaciones de alteración son rechazadas y la traza permanece intacta: el log es inmutable para todos los perfiles</t>
        </is>
      </c>
      <c r="K20" s="2" t="inlineStr"/>
      <c r="L20" s="2" t="inlineStr"/>
      <c r="M20" s="2" t="inlineStr">
        <is>
          <t>P0</t>
        </is>
      </c>
      <c r="N20" s="3" t="inlineStr">
        <is>
          <t>Critical</t>
        </is>
      </c>
      <c r="O20" s="2" t="inlineStr"/>
      <c r="P20" s="2" t="inlineStr"/>
      <c r="Q20" s="2" t="inlineStr">
        <is>
          <t>S3</t>
        </is>
      </c>
    </row>
    <row r="21">
      <c r="A21" s="2" t="inlineStr">
        <is>
          <t>EPIC-00</t>
        </is>
      </c>
      <c r="B21" s="2" t="inlineStr">
        <is>
          <t>TC-CEPA-003-003</t>
        </is>
      </c>
      <c r="C21" s="2" t="inlineStr">
        <is>
          <t>Functional</t>
        </is>
      </c>
      <c r="D21" s="2" t="inlineStr">
        <is>
          <t>Consulta y filtros del log</t>
        </is>
      </c>
      <c r="E21" s="2" t="inlineStr">
        <is>
          <t>Consulta de auditoría con filtros</t>
        </is>
      </c>
      <c r="F21" s="2" t="inlineStr">
        <is>
          <t>Verificar que Auditor/Coordinación puede filtrar el log por usuario, módulo, tipo de operación y rango de fechas</t>
        </is>
      </c>
      <c r="G21" s="2" t="inlineStr">
        <is>
          <t>Web</t>
        </is>
      </c>
      <c r="H21" s="2" t="inlineStr">
        <is>
          <t>Log de auditoría con múltiples trazas de distintos usuarios, módulos, operaciones y fechas; sesión Auditor o Coordinación</t>
        </is>
      </c>
      <c r="I21" s="2" t="inlineStr">
        <is>
          <t>1. Abrir el módulo de log de auditoría. 2. Aplicar filtro por usuario 'maria.perez'. 3. Agregar filtro por módulo 'Ingresos'. 4. Agregar filtro por tipo de operación 'Actualizar'. 5. Agregar rango de fechas 01-06-2026 a 30-06-2026. 6. Revisar el resultado listado.</t>
        </is>
      </c>
      <c r="J21" s="2" t="inlineStr">
        <is>
          <t>El sistema muestra únicamente las trazas que cumplen todos los criterios combinados, de forma consultable</t>
        </is>
      </c>
      <c r="K21" s="2" t="inlineStr"/>
      <c r="L21" s="2" t="inlineStr"/>
      <c r="M21" s="2" t="inlineStr">
        <is>
          <t>P0</t>
        </is>
      </c>
      <c r="N21" s="4" t="inlineStr">
        <is>
          <t>Major</t>
        </is>
      </c>
      <c r="O21" s="2" t="inlineStr"/>
      <c r="P21" s="2" t="inlineStr"/>
      <c r="Q21" s="2" t="inlineStr">
        <is>
          <t>S1</t>
        </is>
      </c>
    </row>
    <row r="22">
      <c r="A22" s="2" t="inlineStr">
        <is>
          <t>EPIC-00</t>
        </is>
      </c>
      <c r="B22" s="2" t="inlineStr">
        <is>
          <t>TC-CEPA-003-004</t>
        </is>
      </c>
      <c r="C22" s="2" t="inlineStr">
        <is>
          <t>Security</t>
        </is>
      </c>
      <c r="D22" s="2" t="inlineStr">
        <is>
          <t>RBAC acceso al log</t>
        </is>
      </c>
      <c r="E22" s="2" t="inlineStr">
        <is>
          <t>Motor de permisos RBAC</t>
        </is>
      </c>
      <c r="F22" s="2" t="inlineStr">
        <is>
          <t>Verificar que el perfil Administrativo no puede acceder al log de auditoría</t>
        </is>
      </c>
      <c r="G22" s="2" t="inlineStr">
        <is>
          <t>Web/API</t>
        </is>
      </c>
      <c r="H22" s="2" t="inlineStr">
        <is>
          <t>Usuario con perfil Administrativo autenticado; log de auditoría con trazas</t>
        </is>
      </c>
      <c r="I22" s="2" t="inlineStr">
        <is>
          <t>1. Iniciar sesión como Administrativo. 2. Intentar abrir la vista del log de auditoría desde el menú. 3. Intentar consultar el log vía API GET /api/v1/auditoria con el token del Administrativo.</t>
        </is>
      </c>
      <c r="J22" s="2" t="inlineStr">
        <is>
          <t>El sistema deniega el acceso al log por falta de permisos tanto en la UI como en la API (código de acceso prohibido), sin exponer trazas</t>
        </is>
      </c>
      <c r="K22" s="2" t="inlineStr"/>
      <c r="L22" s="2" t="inlineStr"/>
      <c r="M22" s="2" t="inlineStr">
        <is>
          <t>P0</t>
        </is>
      </c>
      <c r="N22" s="3" t="inlineStr">
        <is>
          <t>Critical</t>
        </is>
      </c>
      <c r="O22" s="2" t="inlineStr"/>
      <c r="P22" s="2" t="inlineStr"/>
      <c r="Q22" s="2" t="inlineStr">
        <is>
          <t>S3</t>
        </is>
      </c>
    </row>
    <row r="23">
      <c r="A23" s="2" t="inlineStr">
        <is>
          <t>EPIC-00</t>
        </is>
      </c>
      <c r="B23" s="2" t="inlineStr">
        <is>
          <t>TC-CEPA-003-005</t>
        </is>
      </c>
      <c r="C23" s="2" t="inlineStr">
        <is>
          <t>Data Integrity</t>
        </is>
      </c>
      <c r="D23" s="2" t="inlineStr">
        <is>
          <t>Contenido mínimo de la traza</t>
        </is>
      </c>
      <c r="E23" s="2" t="inlineStr">
        <is>
          <t>Motor de registro de auditoría</t>
        </is>
      </c>
      <c r="F23" s="2" t="inlineStr">
        <is>
          <t>Verificar que cada traza registra como mínimo identidad del usuario, perfil/rol, tipo de operación, entidad y registro afectado, valor anterior/nuevo cuando aplica y marca temporal</t>
        </is>
      </c>
      <c r="G23" s="2" t="inlineStr">
        <is>
          <t>Web/API</t>
        </is>
      </c>
      <c r="H23" s="2" t="inlineStr">
        <is>
          <t>Usuario Administrativo autenticado; registro existente con un campo editable (ej. estado de un ingreso)</t>
        </is>
      </c>
      <c r="I23" s="2" t="inlineStr">
        <is>
          <t>1. Como Administrativo, actualizar un campo de un registro cambiando su valor (ej. estado de 'Activo' a 'Alta') y confirmar. 2. Con sesión Coordinación, abrir el log de auditoría y localizar la traza de la actualización. 3. Inspeccionar el detalle de la traza.</t>
        </is>
      </c>
      <c r="J23" s="2" t="inlineStr">
        <is>
          <t>La traza contiene identidad del usuario, perfil/rol, tipo de operación (actualizar), entidad y registro afectado, valor anterior ('Activo') y valor nuevo ('Alta'), y marca temporal</t>
        </is>
      </c>
      <c r="K23" s="2" t="inlineStr"/>
      <c r="L23" s="2" t="inlineStr"/>
      <c r="M23" s="2" t="inlineStr">
        <is>
          <t>P0</t>
        </is>
      </c>
      <c r="N23" s="3" t="inlineStr">
        <is>
          <t>Critical</t>
        </is>
      </c>
      <c r="O23" s="2" t="inlineStr"/>
      <c r="P23" s="2" t="inlineStr"/>
      <c r="Q23" s="2" t="inlineStr">
        <is>
          <t>BR-2</t>
        </is>
      </c>
    </row>
    <row r="24">
      <c r="A24" s="2" t="inlineStr">
        <is>
          <t>EPIC-00</t>
        </is>
      </c>
      <c r="B24" s="2" t="inlineStr">
        <is>
          <t>TC-CEPA-003-006</t>
        </is>
      </c>
      <c r="C24" s="2" t="inlineStr">
        <is>
          <t>Security</t>
        </is>
      </c>
      <c r="D24" s="2" t="inlineStr">
        <is>
          <t>Acceso de lectura Auditor</t>
        </is>
      </c>
      <c r="E24" s="2" t="inlineStr">
        <is>
          <t>Consulta de auditoría con filtros</t>
        </is>
      </c>
      <c r="F24" s="2" t="inlineStr">
        <is>
          <t>Verificar que el Auditor accede al log de auditoría y consulta/filtra trazas en modo solo lectura</t>
        </is>
      </c>
      <c r="G24" s="2" t="inlineStr">
        <is>
          <t>Web</t>
        </is>
      </c>
      <c r="H24" s="2" t="inlineStr">
        <is>
          <t>Usuario con perfil Auditor autenticado; log con trazas existentes</t>
        </is>
      </c>
      <c r="I24" s="2" t="inlineStr">
        <is>
          <t>1. Iniciar sesión como Auditor. 2. Abrir el módulo de log de auditoría. 3. Consultar el listado de trazas y aplicar un filtro por rango de fechas. 4. Verificar la ausencia de acciones de edición sobre las trazas.</t>
        </is>
      </c>
      <c r="J24" s="2" t="inlineStr">
        <is>
          <t>El Auditor visualiza y filtra el log correctamente en modo solo lectura, sin ninguna acción de modificación disponible</t>
        </is>
      </c>
      <c r="K24" s="2" t="inlineStr"/>
      <c r="L24" s="2" t="inlineStr"/>
      <c r="M24" s="2" t="inlineStr">
        <is>
          <t>P0</t>
        </is>
      </c>
      <c r="N24" s="4" t="inlineStr">
        <is>
          <t>Major</t>
        </is>
      </c>
      <c r="O24" s="2" t="inlineStr"/>
      <c r="P24" s="2" t="inlineStr"/>
      <c r="Q24" s="2" t="inlineStr">
        <is>
          <t>BR-5</t>
        </is>
      </c>
    </row>
    <row r="25">
      <c r="A25" s="2" t="inlineStr">
        <is>
          <t>EPIC-00</t>
        </is>
      </c>
      <c r="B25" s="2" t="inlineStr">
        <is>
          <t>TC-CEPA-003-007</t>
        </is>
      </c>
      <c r="C25" s="2" t="inlineStr">
        <is>
          <t>Data Integrity</t>
        </is>
      </c>
      <c r="D25" s="2" t="inlineStr">
        <is>
          <t>Consistencia transaccional</t>
        </is>
      </c>
      <c r="E25" s="2" t="inlineStr">
        <is>
          <t>Motor de registro de auditoría</t>
        </is>
      </c>
      <c r="F25" s="2" t="inlineStr">
        <is>
          <t>Verificar que ante un fallo a mitad de una operación CRUD no queda traza parcial inconsistente en el log</t>
        </is>
      </c>
      <c r="G25" s="2" t="inlineStr">
        <is>
          <t>API</t>
        </is>
      </c>
      <c r="H25" s="2" t="inlineStr">
        <is>
          <t>Entorno de pruebas que permite provocar un fallo durante una transacción (ej. interrupción de la operación o error forzado en el backend)</t>
        </is>
      </c>
      <c r="I25" s="2" t="inlineStr">
        <is>
          <t>1. Iniciar una operación de actualización de un registro. 2. Provocar un fallo a mitad de la transacción (interrumpir la petición o forzar un error controlado). 3. Verificar el estado del registro afectado. 4. Consultar el log de auditoría buscando trazas asociadas a la operación fallida.</t>
        </is>
      </c>
      <c r="J25" s="2" t="inlineStr">
        <is>
          <t>No queda ninguna traza parcial ni inconsistente: la traza solo se confirma junto con la operación (atomicidad registro + traza)</t>
        </is>
      </c>
      <c r="K25" s="2" t="inlineStr"/>
      <c r="L25" s="2" t="inlineStr"/>
      <c r="M25" s="2" t="inlineStr">
        <is>
          <t>P0</t>
        </is>
      </c>
      <c r="N25" s="4" t="inlineStr">
        <is>
          <t>Major</t>
        </is>
      </c>
      <c r="O25" s="2" t="inlineStr"/>
      <c r="P25" s="2" t="inlineStr"/>
      <c r="Q25" s="2" t="inlineStr">
        <is>
          <t>TC-legacy</t>
        </is>
      </c>
    </row>
    <row r="26">
      <c r="A26" s="2" t="inlineStr">
        <is>
          <t>EPIC-01</t>
        </is>
      </c>
      <c r="B26" s="2" t="inlineStr">
        <is>
          <t>TC-CEPA-010-001</t>
        </is>
      </c>
      <c r="C26" s="2" t="inlineStr">
        <is>
          <t>Functional</t>
        </is>
      </c>
      <c r="D26" s="2" t="inlineStr">
        <is>
          <t>Pre-llenado por RUT</t>
        </is>
      </c>
      <c r="E26" s="2" t="inlineStr">
        <is>
          <t>Formulario de nuevo ingreso</t>
        </is>
      </c>
      <c r="F26" s="2" t="inlineStr">
        <is>
          <t>Verificar que al ingresar un RUT válido ya existente el sistema pre-llena los datos del paciente y permite confirmar o actualizar antes de crear el nuevo ingreso</t>
        </is>
      </c>
      <c r="G26" s="2" t="inlineStr">
        <is>
          <t>Web</t>
        </is>
      </c>
      <c r="H26" s="2" t="inlineStr">
        <is>
          <t>Usuario administrativo autenticado; paciente con RUT 11.111.111-1 con al menos un ingreso previo en el sistema</t>
        </is>
      </c>
      <c r="I26" s="2" t="inlineStr">
        <is>
          <t>1. Navegar al formulario de nuevo ingreso. 2. Ingresar el RUT 11.111.111-1 en el campo RUT. 3. Salir del campo RUT para gatillar la búsqueda. 4. Revisar los campos de datos del paciente (nombre, región, teléfono, correo). 5. Modificar el teléfono y hacer clic en 'Confirmar y continuar'</t>
        </is>
      </c>
      <c r="J26" s="2" t="inlineStr">
        <is>
          <t>El sistema muestra los datos del paciente pre-llenados, exige confirmación o actualización, acepta la modificación y permite continuar con la creación de un nuevo ingreso para el mismo paciente</t>
        </is>
      </c>
      <c r="K26" s="2" t="inlineStr"/>
      <c r="L26" s="2" t="inlineStr"/>
      <c r="M26" s="2" t="inlineStr">
        <is>
          <t>P0</t>
        </is>
      </c>
      <c r="N26" s="4" t="inlineStr">
        <is>
          <t>Major</t>
        </is>
      </c>
      <c r="O26" s="2" t="inlineStr"/>
      <c r="P26" s="2" t="inlineStr"/>
      <c r="Q26" s="2" t="inlineStr">
        <is>
          <t>S1</t>
        </is>
      </c>
    </row>
    <row r="27">
      <c r="A27" s="2" t="inlineStr">
        <is>
          <t>EPIC-01</t>
        </is>
      </c>
      <c r="B27" s="2" t="inlineStr">
        <is>
          <t>TC-CEPA-010-002</t>
        </is>
      </c>
      <c r="C27" s="2" t="inlineStr">
        <is>
          <t>Functional</t>
        </is>
      </c>
      <c r="D27" s="2" t="inlineStr">
        <is>
          <t>Registro de ingreso</t>
        </is>
      </c>
      <c r="E27" s="2" t="inlineStr">
        <is>
          <t>Formulario de nuevo ingreso</t>
        </is>
      </c>
      <c r="F27" s="2" t="inlineStr">
        <is>
          <t>Verificar que al guardar un ingreso con todos los campos obligatorios se genera un folio único automático y el registro aparece de inmediato en las búsquedas</t>
        </is>
      </c>
      <c r="G27" s="2" t="inlineStr">
        <is>
          <t>Web</t>
        </is>
      </c>
      <c r="H27" s="2" t="inlineStr">
        <is>
          <t>Usuario administrativo autenticado; RUT 12.345.678-5 sin registros previos</t>
        </is>
      </c>
      <c r="I27" s="2" t="inlineStr">
        <is>
          <t>1. Navegar al formulario de nuevo ingreso. 2. Completar todos los campos obligatorios: nombre 'Juan Pérez Soto', RUT 12.345.678-5, sexo 'Masculino', edad 42, región 'Maule', diagnóstico 'Trastorno adaptativo', tipo de derivación 'DIAT', modelo de tratamiento y tipo de ingreso. 3. Hacer clic en 'Guardar'. 4. Navegar a la pantalla de búsqueda y buscar por RUT 12.345.678-5</t>
        </is>
      </c>
      <c r="J27" s="2" t="inlineStr">
        <is>
          <t>El sistema guarda el registro, genera un folio único secuencial automático y el ingreso aparece inmediatamente en la búsqueda por RUT, nombre y folio</t>
        </is>
      </c>
      <c r="K27" s="2" t="inlineStr"/>
      <c r="L27" s="2" t="inlineStr"/>
      <c r="M27" s="2" t="inlineStr">
        <is>
          <t>P0</t>
        </is>
      </c>
      <c r="N27" s="3" t="inlineStr">
        <is>
          <t>Critical</t>
        </is>
      </c>
      <c r="O27" s="2" t="inlineStr"/>
      <c r="P27" s="2" t="inlineStr"/>
      <c r="Q27" s="2" t="inlineStr">
        <is>
          <t>S1</t>
        </is>
      </c>
    </row>
    <row r="28">
      <c r="A28" s="2" t="inlineStr">
        <is>
          <t>EPIC-01</t>
        </is>
      </c>
      <c r="B28" s="2" t="inlineStr">
        <is>
          <t>TC-CEPA-010-003</t>
        </is>
      </c>
      <c r="C28" s="2" t="inlineStr">
        <is>
          <t>Functional</t>
        </is>
      </c>
      <c r="D28" s="2" t="inlineStr">
        <is>
          <t>Validación RUT</t>
        </is>
      </c>
      <c r="E28" s="2" t="inlineStr">
        <is>
          <t>Validador de RUT</t>
        </is>
      </c>
      <c r="F28" s="2" t="inlineStr">
        <is>
          <t>Verificar que un RUT con dígito verificador inválido impide guardar, muestra un error específico y conserva los datos ya ingresados</t>
        </is>
      </c>
      <c r="G28" s="2" t="inlineStr">
        <is>
          <t>Web</t>
        </is>
      </c>
      <c r="H28" s="2" t="inlineStr">
        <is>
          <t>Usuario administrativo autenticado; formulario de nuevo ingreso con datos ya cargados (nombre, sexo, edad, región, diagnóstico)</t>
        </is>
      </c>
      <c r="I28" s="2" t="inlineStr">
        <is>
          <t>1. Completar el formulario con los datos del paciente. 2. Ingresar el RUT 12.345.678-0 (dígito verificador erróneo, el correcto es 5). 3. Hacer clic en 'Guardar'. 4. Revisar el mensaje mostrado y el contenido de los demás campos del formulario</t>
        </is>
      </c>
      <c r="J28" s="2" t="inlineStr">
        <is>
          <t>El sistema bloquea el guardado, muestra un mensaje de error específico indicando que el RUT es inválido (dígito verificador módulo 11) y todos los datos ya ingresados permanecen en el formulario</t>
        </is>
      </c>
      <c r="K28" s="2" t="inlineStr"/>
      <c r="L28" s="2" t="inlineStr"/>
      <c r="M28" s="2" t="inlineStr">
        <is>
          <t>P0</t>
        </is>
      </c>
      <c r="N28" s="4" t="inlineStr">
        <is>
          <t>Major</t>
        </is>
      </c>
      <c r="O28" s="2" t="inlineStr"/>
      <c r="P28" s="2" t="inlineStr"/>
      <c r="Q28" s="2" t="inlineStr">
        <is>
          <t>S4</t>
        </is>
      </c>
    </row>
    <row r="29">
      <c r="A29" s="2" t="inlineStr">
        <is>
          <t>EPIC-01</t>
        </is>
      </c>
      <c r="B29" s="2" t="inlineStr">
        <is>
          <t>TC-CEPA-010-004</t>
        </is>
      </c>
      <c r="C29" s="2" t="inlineStr">
        <is>
          <t>Functional</t>
        </is>
      </c>
      <c r="D29" s="2" t="inlineStr">
        <is>
          <t>Campos obligatorios</t>
        </is>
      </c>
      <c r="E29" s="2" t="inlineStr">
        <is>
          <t>Formulario de nuevo ingreso</t>
        </is>
      </c>
      <c r="F29" s="2" t="inlineStr">
        <is>
          <t>Verificar que el sistema bloquea el guardado y resalta los campos faltantes cuando se omiten campos obligatorios</t>
        </is>
      </c>
      <c r="G29" s="2" t="inlineStr">
        <is>
          <t>Web</t>
        </is>
      </c>
      <c r="H29" s="2" t="inlineStr">
        <is>
          <t>Usuario administrativo autenticado; formulario de nuevo ingreso abierto</t>
        </is>
      </c>
      <c r="I29" s="2" t="inlineStr">
        <is>
          <t>1. Completar el formulario con nombre 'María López Díaz' y RUT 11.111.111-1. 2. Dejar vacíos los campos obligatorios sexo, diagnóstico y tipo de derivación. 3. Hacer clic en 'Guardar'</t>
        </is>
      </c>
      <c r="J29" s="2" t="inlineStr">
        <is>
          <t>El sistema bloquea el guardado, no persiste el registro y resalta visualmente los campos obligatorios faltantes (sexo, diagnóstico, tipo de derivación)</t>
        </is>
      </c>
      <c r="K29" s="2" t="inlineStr"/>
      <c r="L29" s="2" t="inlineStr"/>
      <c r="M29" s="2" t="inlineStr">
        <is>
          <t>P0</t>
        </is>
      </c>
      <c r="N29" s="4" t="inlineStr">
        <is>
          <t>Major</t>
        </is>
      </c>
      <c r="O29" s="2" t="inlineStr"/>
      <c r="P29" s="2" t="inlineStr"/>
      <c r="Q29" s="2" t="inlineStr">
        <is>
          <t>S4</t>
        </is>
      </c>
    </row>
    <row r="30">
      <c r="A30" s="2" t="inlineStr">
        <is>
          <t>EPIC-01</t>
        </is>
      </c>
      <c r="B30" s="2" t="inlineStr">
        <is>
          <t>TC-CEPA-010-005</t>
        </is>
      </c>
      <c r="C30" s="2" t="inlineStr">
        <is>
          <t>Functional</t>
        </is>
      </c>
      <c r="D30" s="2" t="inlineStr">
        <is>
          <t>Catálogo cerrado</t>
        </is>
      </c>
      <c r="E30" s="2" t="inlineStr">
        <is>
          <t>Catálogo de tipos de derivación</t>
        </is>
      </c>
      <c r="F30" s="2" t="inlineStr">
        <is>
          <t>Verificar que el campo 'tipo de derivación' solo muestra los 9 valores válidos del catálogo cerrado (v4 D4)</t>
        </is>
      </c>
      <c r="G30" s="2" t="inlineStr">
        <is>
          <t>Web</t>
        </is>
      </c>
      <c r="H30" s="2" t="inlineStr">
        <is>
          <t>Usuario administrativo autenticado; formulario de nuevo ingreso abierto</t>
        </is>
      </c>
      <c r="I30" s="2" t="inlineStr">
        <is>
          <t>1. Hacer clic en el campo desplegable 'tipo de derivación'. 2. Registrar todas las opciones listadas. 3. Comparar contra el catálogo esperado: DIEP, DIAT, PAPT a flujo AT, Reingreso FUMP, Reingreso SUSESO, Convenio U.Clínica, Proyecto, Particular, PAPT</t>
        </is>
      </c>
      <c r="J30" s="2" t="inlineStr">
        <is>
          <t>El desplegable muestra exactamente los 9 valores válidos del catálogo; no aparece 'Convenio SOCORRO' ni ningún otro valor fuera de lista y no admite texto libre</t>
        </is>
      </c>
      <c r="K30" s="2" t="inlineStr"/>
      <c r="L30" s="2" t="inlineStr"/>
      <c r="M30" s="2" t="inlineStr">
        <is>
          <t>P0</t>
        </is>
      </c>
      <c r="N30" s="4" t="inlineStr">
        <is>
          <t>Major</t>
        </is>
      </c>
      <c r="O30" s="2" t="inlineStr"/>
      <c r="P30" s="2" t="inlineStr"/>
      <c r="Q30" s="2" t="inlineStr">
        <is>
          <t>S4</t>
        </is>
      </c>
    </row>
    <row r="31">
      <c r="A31" s="2" t="inlineStr">
        <is>
          <t>EPIC-01</t>
        </is>
      </c>
      <c r="B31" s="2" t="inlineStr">
        <is>
          <t>TC-CEPA-010-006</t>
        </is>
      </c>
      <c r="C31" s="2" t="inlineStr">
        <is>
          <t>Business Rules</t>
        </is>
      </c>
      <c r="D31" s="2" t="inlineStr">
        <is>
          <t>Catálogo cerrado</t>
        </is>
      </c>
      <c r="E31" s="2" t="inlineStr">
        <is>
          <t>API de ingresos</t>
        </is>
      </c>
      <c r="F31" s="2" t="inlineStr">
        <is>
          <t>Verificar que la API rechaza un tipo de derivación fuera del catálogo cerrado (ej. el obsoleto 'SOCORRO') aunque se envíe directamente al endpoint</t>
        </is>
      </c>
      <c r="G31" s="2" t="inlineStr">
        <is>
          <t>API</t>
        </is>
      </c>
      <c r="H31" s="2" t="inlineStr">
        <is>
          <t>Token JWT de usuario administrativo válido; payload de ingreso completo y correcto salvo el tipo de derivación</t>
        </is>
      </c>
      <c r="I31" s="2" t="inlineStr">
        <is>
          <t>1. Construir un payload de creación de ingreso válido con RUT 12.345.678-5. 2. Establecer tipo_derivacion = 'SOCORRO'. 3. Enviar POST a /api/v1 (endpoint de ingresos). 4. Repetir con tipo_derivacion = 'OTRO_VALOR'</t>
        </is>
      </c>
      <c r="J31" s="2" t="inlineStr">
        <is>
          <t>La API responde con error de validación (HTTP 422/400) indicando valor no permitido para tipo de derivación; ningún registro se persiste (lista cerrada v4 D4)</t>
        </is>
      </c>
      <c r="K31" s="2" t="inlineStr"/>
      <c r="L31" s="2" t="inlineStr"/>
      <c r="M31" s="2" t="inlineStr">
        <is>
          <t>P0</t>
        </is>
      </c>
      <c r="N31" s="4" t="inlineStr">
        <is>
          <t>Major</t>
        </is>
      </c>
      <c r="O31" s="2" t="inlineStr"/>
      <c r="P31" s="2" t="inlineStr"/>
      <c r="Q31" s="2" t="inlineStr">
        <is>
          <t>BR-6</t>
        </is>
      </c>
    </row>
    <row r="32">
      <c r="A32" s="2" t="inlineStr">
        <is>
          <t>EPIC-01</t>
        </is>
      </c>
      <c r="B32" s="2" t="inlineStr">
        <is>
          <t>TC-CEPA-010-007</t>
        </is>
      </c>
      <c r="C32" s="2" t="inlineStr">
        <is>
          <t>Data Integrity</t>
        </is>
      </c>
      <c r="D32" s="2" t="inlineStr">
        <is>
          <t>Campos de formulario</t>
        </is>
      </c>
      <c r="E32" s="2" t="inlineStr">
        <is>
          <t>Formulario de nuevo ingreso</t>
        </is>
      </c>
      <c r="F32" s="2" t="inlineStr">
        <is>
          <t>Verificar que el formulario de nuevo ingreso contiene todos los campos definidos en PRD §7.1.1 y que se persisten correctamente al guardar</t>
        </is>
      </c>
      <c r="G32" s="2" t="inlineStr">
        <is>
          <t>Web/API</t>
        </is>
      </c>
      <c r="H32" s="2" t="inlineStr">
        <is>
          <t>Usuario administrativo autenticado; formulario de nuevo ingreso abierto</t>
        </is>
      </c>
      <c r="I32" s="2" t="inlineStr">
        <is>
          <t>1. Verificar la presencia en el formulario de los campos: folio, mes, fecha de ingreso, fecha DIEP/DIAT, nombre, RUT, región, teléfono, correo electrónico, tipo de derivación, razón social / centro de trabajo. 2. Completar todos los campos con datos de prueba (RUT 12.345.678-5, fecha de ingreso 02-07-2026, fecha DIEP/DIAT 25-06-2026, teléfono +56 9 8765 4321, correo paciente@test.cl, razón social 'Constructora Andes Ltda.'). 3. Guardar el registro. 4. Consultar el registro creado vía búsqueda o API</t>
        </is>
      </c>
      <c r="J32" s="2" t="inlineStr">
        <is>
          <t>Todos los campos del §7.1.1 existen en el formulario y cada valor ingresado se persiste y recupera sin pérdida ni truncamiento</t>
        </is>
      </c>
      <c r="K32" s="2" t="inlineStr"/>
      <c r="L32" s="2" t="inlineStr"/>
      <c r="M32" s="2" t="inlineStr">
        <is>
          <t>P0</t>
        </is>
      </c>
      <c r="N32" s="4" t="inlineStr">
        <is>
          <t>Major</t>
        </is>
      </c>
      <c r="O32" s="2" t="inlineStr"/>
      <c r="P32" s="2" t="inlineStr"/>
      <c r="Q32" s="2" t="inlineStr">
        <is>
          <t>BR-7</t>
        </is>
      </c>
    </row>
    <row r="33">
      <c r="A33" s="2" t="inlineStr">
        <is>
          <t>EPIC-01</t>
        </is>
      </c>
      <c r="B33" s="2" t="inlineStr">
        <is>
          <t>TC-CEPA-010-008</t>
        </is>
      </c>
      <c r="C33" s="2" t="inlineStr">
        <is>
          <t>Security</t>
        </is>
      </c>
      <c r="D33" s="2" t="inlineStr">
        <is>
          <t>RBAC</t>
        </is>
      </c>
      <c r="E33" s="2" t="inlineStr">
        <is>
          <t>Control de acceso de ingresos</t>
        </is>
      </c>
      <c r="F33" s="2" t="inlineStr">
        <is>
          <t>Verificar que el perfil Auditor (solo lectura) no puede abrir ni guardar el formulario de nuevo ingreso</t>
        </is>
      </c>
      <c r="G33" s="2" t="inlineStr">
        <is>
          <t>Web/API</t>
        </is>
      </c>
      <c r="H33" s="2" t="inlineStr">
        <is>
          <t>Usuario con perfil Auditor autenticado</t>
        </is>
      </c>
      <c r="I33" s="2" t="inlineStr">
        <is>
          <t>1. Intentar acceder a la opción/ruta del formulario de nuevo ingreso desde la interfaz. 2. Intentar acceder directamente a la URL del formulario. 3. Enviar POST de creación de ingreso a la API con el token del Auditor</t>
        </is>
      </c>
      <c r="J33" s="2" t="inlineStr">
        <is>
          <t>La opción no está disponible o el acceso es denegado; la API responde HTTP 403; no se crea ningún registro (Auditor es solo lectura, v4 D1)</t>
        </is>
      </c>
      <c r="K33" s="2" t="inlineStr"/>
      <c r="L33" s="2" t="inlineStr"/>
      <c r="M33" s="2" t="inlineStr">
        <is>
          <t>P0</t>
        </is>
      </c>
      <c r="N33" s="3" t="inlineStr">
        <is>
          <t>Critical</t>
        </is>
      </c>
      <c r="O33" s="2" t="inlineStr"/>
      <c r="P33" s="2" t="inlineStr"/>
      <c r="Q33" s="2" t="inlineStr">
        <is>
          <t>TC-legacy</t>
        </is>
      </c>
    </row>
    <row r="34">
      <c r="A34" s="2" t="inlineStr">
        <is>
          <t>EPIC-01</t>
        </is>
      </c>
      <c r="B34" s="2" t="inlineStr">
        <is>
          <t>TC-CEPA-010-009</t>
        </is>
      </c>
      <c r="C34" s="2" t="inlineStr">
        <is>
          <t>Data Integrity</t>
        </is>
      </c>
      <c r="D34" s="2" t="inlineStr">
        <is>
          <t>Cobertura de columnas de planilla</t>
        </is>
      </c>
      <c r="E34" s="2" t="inlineStr">
        <is>
          <t>Modelo de datos de ingresos</t>
        </is>
      </c>
      <c r="F34" s="2" t="inlineStr">
        <is>
          <t>Verificar que el módulo de Ingresos captura las 27 columnas de la hoja 'Ingresos' de la planilla Excel original</t>
        </is>
      </c>
      <c r="G34" s="2" t="inlineStr">
        <is>
          <t>Web/API</t>
        </is>
      </c>
      <c r="H34" s="2" t="inlineStr">
        <is>
          <t>Usuario administrativo autenticado; acceso al modelo/formularios del módulo Ingresos (registro + seguimiento + cierre)</t>
        </is>
      </c>
      <c r="I34" s="2" t="inlineStr">
        <is>
          <t>1. Recorrer el formulario de ingreso, el seguimiento clínico y el cierre del caso. 2. Verificar que existe un campo equivalente para cada columna de la hoja 'Ingresos': Folio, Mes, Fecha de ingreso, Fecha DIEP/DIAT, Nombre Paciente, RUT, Región, Tipo de derivación, Teléfono, Correo electrónico, Razón social (centro de trabajo), Fecha Primera acogida, Consentimiento informado, Evaluación Médica, Médico/a, Diagnóstico, Evaluación Psicológica, Psicólogo/a, Obstaculización, Plazo envío de informe, Envío informes, RECA EP/EC, Estado, Observaciones, Tipo de Alta, Revisión de Caso, Encuesta de satisfacción. 3. Registrar un caso completo llenando las 27 dimensiones. 4. Consultar el caso por API y comparar campo a campo</t>
        </is>
      </c>
      <c r="J34" s="2" t="inlineStr">
        <is>
          <t>Las 27 columnas de la hoja 'Ingresos' tienen campo equivalente en el sistema y todos los valores registrados se persisten y recuperan correctamente</t>
        </is>
      </c>
      <c r="K34" s="2" t="inlineStr"/>
      <c r="L34" s="2" t="inlineStr"/>
      <c r="M34" s="2" t="inlineStr">
        <is>
          <t>P0</t>
        </is>
      </c>
      <c r="N34" s="3" t="inlineStr">
        <is>
          <t>Critical</t>
        </is>
      </c>
      <c r="O34" s="2" t="inlineStr"/>
      <c r="P34" s="2" t="inlineStr"/>
      <c r="Q34" s="2" t="inlineStr">
        <is>
          <t>PLANILLA</t>
        </is>
      </c>
    </row>
    <row r="35">
      <c r="A35" s="2" t="inlineStr">
        <is>
          <t>EPIC-01</t>
        </is>
      </c>
      <c r="B35" s="2" t="inlineStr">
        <is>
          <t>TC-CEPA-010-010</t>
        </is>
      </c>
      <c r="C35" s="2" t="inlineStr">
        <is>
          <t>Data Integrity</t>
        </is>
      </c>
      <c r="D35" s="2" t="inlineStr">
        <is>
          <t>Catálogo cerrado</t>
        </is>
      </c>
      <c r="E35" s="2" t="inlineStr">
        <is>
          <t>Catálogos del módulo Ingresos</t>
        </is>
      </c>
      <c r="F35" s="2" t="inlineStr">
        <is>
          <t>Verificar que los campos tipo lista de la hoja 'Ingresos' se manejan como catálogos cerrados y no como texto libre</t>
        </is>
      </c>
      <c r="G35" s="2" t="inlineStr">
        <is>
          <t>Web/API</t>
        </is>
      </c>
      <c r="H35" s="2" t="inlineStr">
        <is>
          <t>Usuario administrativo autenticado; caso de prueba registrado</t>
        </is>
      </c>
      <c r="I35" s="2" t="inlineStr">
        <is>
          <t>1. Revisar que los siguientes campos se presentan como listas cerradas: Tipo de derivación (9 valores v4 D4), Consentimiento informado (firmado/pendiente), Evaluación Médica y Evaluación Psicológica (realizada/pendiente/no aplica), Obstaculización (sí/no), Estado (activo/cerrado/derivado), Tipo de Alta (terapéutica/médica/psicológica/abandono/derivación), Revisión de Caso (sí/no). 2. Para cada campo, intentar enviar por API un valor fuera de catálogo (ej. Estado='suspendido', Obstaculización='quizás'). 3. Registrar las respuestas</t>
        </is>
      </c>
      <c r="J35" s="2" t="inlineStr">
        <is>
          <t>Cada campo tipo lista solo acepta valores de su catálogo cerrado; los valores fuera de catálogo son rechazados con error de validación tanto en UI como en API</t>
        </is>
      </c>
      <c r="K35" s="2" t="inlineStr"/>
      <c r="L35" s="2" t="inlineStr"/>
      <c r="M35" s="2" t="inlineStr">
        <is>
          <t>P0</t>
        </is>
      </c>
      <c r="N35" s="4" t="inlineStr">
        <is>
          <t>Major</t>
        </is>
      </c>
      <c r="O35" s="2" t="inlineStr"/>
      <c r="P35" s="2" t="inlineStr"/>
      <c r="Q35" s="2" t="inlineStr">
        <is>
          <t>PLANILLA</t>
        </is>
      </c>
    </row>
    <row r="36">
      <c r="A36" s="2" t="inlineStr">
        <is>
          <t>EPIC-01</t>
        </is>
      </c>
      <c r="B36" s="2" t="inlineStr">
        <is>
          <t>TC-CEPA-010-011</t>
        </is>
      </c>
      <c r="C36" s="2" t="inlineStr">
        <is>
          <t>Data Integrity</t>
        </is>
      </c>
      <c r="D36" s="2" t="inlineStr">
        <is>
          <t>Valores especiales de migración</t>
        </is>
      </c>
      <c r="E36" s="2" t="inlineStr">
        <is>
          <t>Modelo de datos de ingresos</t>
        </is>
      </c>
      <c r="F36" s="2" t="inlineStr">
        <is>
          <t>Verificar que los campos opcionales de la hoja 'Ingresos' (Observaciones, Encuesta de satisfacción, RECA EP/EC) admiten valores vacíos o 'S/D' (sin dato) sin provocar errores</t>
        </is>
      </c>
      <c r="G36" s="2" t="inlineStr">
        <is>
          <t>Web/API</t>
        </is>
      </c>
      <c r="H36" s="2" t="inlineStr">
        <is>
          <t>Usuario administrativo autenticado; caso registrado con solo los campos obligatorios v4 D6</t>
        </is>
      </c>
      <c r="I36" s="2" t="inlineStr">
        <is>
          <t>1. Registrar un ingreso completando únicamente los campos obligatorios (nombre, RUT, sexo, edad, región, diagnóstico, tipo de derivación, modelo de tratamiento, tipo de ingreso). 2. Dejar sin dato Observaciones, Encuesta de satisfacción, RECA EP/EC y Envío informes. 3. Guardar y consultar el caso en la vista de detalle y por API. 4. Actualizar posteriormente el campo Encuesta de satisfacción</t>
        </is>
      </c>
      <c r="J36" s="2" t="inlineStr">
        <is>
          <t>El sistema acepta y muestra correctamente los campos opcionales vacíos o con marcador 'sin dato' (equivalente al S/D histórico), sin errores de renderizado ni de API, y permite completarlos después</t>
        </is>
      </c>
      <c r="K36" s="2" t="inlineStr"/>
      <c r="L36" s="2" t="inlineStr"/>
      <c r="M36" s="2" t="inlineStr">
        <is>
          <t>P0</t>
        </is>
      </c>
      <c r="N36" s="5" t="inlineStr">
        <is>
          <t>Medium</t>
        </is>
      </c>
      <c r="O36" s="2" t="inlineStr"/>
      <c r="P36" s="2" t="inlineStr"/>
      <c r="Q36" s="2" t="inlineStr">
        <is>
          <t>PLANILLA</t>
        </is>
      </c>
    </row>
    <row r="37">
      <c r="A37" s="2" t="inlineStr">
        <is>
          <t>EPIC-01</t>
        </is>
      </c>
      <c r="B37" s="2" t="inlineStr">
        <is>
          <t>TC-CEPA-011-001</t>
        </is>
      </c>
      <c r="C37" s="2" t="inlineStr">
        <is>
          <t>Functional</t>
        </is>
      </c>
      <c r="D37" s="2" t="inlineStr">
        <is>
          <t>Folio automático</t>
        </is>
      </c>
      <c r="E37" s="2" t="inlineStr">
        <is>
          <t>Generador de folios</t>
        </is>
      </c>
      <c r="F37" s="2" t="inlineStr">
        <is>
          <t>Verificar que al crear un ingreso sin indicar folio el sistema asigna un folio secuencial automático único</t>
        </is>
      </c>
      <c r="G37" s="2" t="inlineStr">
        <is>
          <t>Web</t>
        </is>
      </c>
      <c r="H37" s="2" t="inlineStr">
        <is>
          <t>Usuario administrativo autenticado; último folio automático emitido conocido (ej. F-120)</t>
        </is>
      </c>
      <c r="I37" s="2" t="inlineStr">
        <is>
          <t>1. Crear un ingreso nuevo con RUT 12.345.678-5 completando los campos obligatorios sin indicar folio. 2. Hacer clic en 'Guardar'. 3. Registrar el folio asignado. 4. Crear un segundo ingreso sin folio y registrar el folio asignado</t>
        </is>
      </c>
      <c r="J37" s="2" t="inlineStr">
        <is>
          <t>Cada ingreso recibe un folio secuencial automático, único y no repetido (ej. F-121 y F-122), sin intervención del usuario</t>
        </is>
      </c>
      <c r="K37" s="2" t="inlineStr"/>
      <c r="L37" s="2" t="inlineStr"/>
      <c r="M37" s="2" t="inlineStr">
        <is>
          <t>P0</t>
        </is>
      </c>
      <c r="N37" s="3" t="inlineStr">
        <is>
          <t>Critical</t>
        </is>
      </c>
      <c r="O37" s="2" t="inlineStr"/>
      <c r="P37" s="2" t="inlineStr"/>
      <c r="Q37" s="2" t="inlineStr">
        <is>
          <t>S1</t>
        </is>
      </c>
    </row>
    <row r="38">
      <c r="A38" s="2" t="inlineStr">
        <is>
          <t>EPIC-01</t>
        </is>
      </c>
      <c r="B38" s="2" t="inlineStr">
        <is>
          <t>TC-CEPA-011-002</t>
        </is>
      </c>
      <c r="C38" s="2" t="inlineStr">
        <is>
          <t>Functional</t>
        </is>
      </c>
      <c r="D38" s="2" t="inlineStr">
        <is>
          <t>Folio manual en reingreso</t>
        </is>
      </c>
      <c r="E38" s="2" t="inlineStr">
        <is>
          <t>Generador de folios</t>
        </is>
      </c>
      <c r="F38" s="2" t="inlineStr">
        <is>
          <t>Verificar que en un reingreso tras el alta el administrativo puede ingresar manualmente el folio anterior y el sistema vincula el reingreso a ese folio</t>
        </is>
      </c>
      <c r="G38" s="2" t="inlineStr">
        <is>
          <t>Web</t>
        </is>
      </c>
      <c r="H38" s="2" t="inlineStr">
        <is>
          <t>Usuario administrativo autenticado; paciente RUT 11.111.111-1 con folio previo F-001 y caso dado de alta</t>
        </is>
      </c>
      <c r="I38" s="2" t="inlineStr">
        <is>
          <t>1. Crear un nuevo ingreso para el RUT 11.111.111-1. 2. Activar la opción de folio manual. 3. Ingresar el folio F-001 y un nuevo número de siniestro. 4. Completar los campos obligatorios y hacer clic en 'Guardar'</t>
        </is>
      </c>
      <c r="J38" s="2" t="inlineStr">
        <is>
          <t>El sistema acepta el folio manual F-001 y el reingreso queda vinculado a ese folio, visible en el historial del paciente</t>
        </is>
      </c>
      <c r="K38" s="2" t="inlineStr"/>
      <c r="L38" s="2" t="inlineStr"/>
      <c r="M38" s="2" t="inlineStr">
        <is>
          <t>P0</t>
        </is>
      </c>
      <c r="N38" s="4" t="inlineStr">
        <is>
          <t>Major</t>
        </is>
      </c>
      <c r="O38" s="2" t="inlineStr"/>
      <c r="P38" s="2" t="inlineStr"/>
      <c r="Q38" s="2" t="inlineStr">
        <is>
          <t>S1</t>
        </is>
      </c>
    </row>
    <row r="39">
      <c r="A39" s="2" t="inlineStr">
        <is>
          <t>EPIC-01</t>
        </is>
      </c>
      <c r="B39" s="2" t="inlineStr">
        <is>
          <t>TC-CEPA-011-003</t>
        </is>
      </c>
      <c r="C39" s="2" t="inlineStr">
        <is>
          <t>Functional</t>
        </is>
      </c>
      <c r="D39" s="2" t="inlineStr">
        <is>
          <t>Fecha día hábil siguiente</t>
        </is>
      </c>
      <c r="E39" s="2" t="inlineStr">
        <is>
          <t>Generador de folios</t>
        </is>
      </c>
      <c r="F39" s="2" t="inlineStr">
        <is>
          <t>Verificar que un ingreso recibido después de las 15:00 (lunes a jueves) puede cargarse con la fecha del día hábil siguiente</t>
        </is>
      </c>
      <c r="G39" s="2" t="inlineStr">
        <is>
          <t>Web</t>
        </is>
      </c>
      <c r="H39" s="2" t="inlineStr">
        <is>
          <t>Usuario administrativo autenticado; ingreso recibido un martes a las 16:00</t>
        </is>
      </c>
      <c r="I39" s="2" t="inlineStr">
        <is>
          <t>1. Crear un nuevo ingreso el martes a las 16:00. 2. En el campo fecha de ingreso, seleccionar la fecha del día hábil siguiente (miércoles). 3. Completar los campos obligatorios y guardar</t>
        </is>
      </c>
      <c r="J39" s="2" t="inlineStr">
        <is>
          <t>El sistema permite asignar la fecha del día hábil siguiente y el ingreso queda registrado con la fecha del miércoles</t>
        </is>
      </c>
      <c r="K39" s="2" t="inlineStr"/>
      <c r="L39" s="2" t="inlineStr"/>
      <c r="M39" s="2" t="inlineStr">
        <is>
          <t>P0</t>
        </is>
      </c>
      <c r="N39" s="5" t="inlineStr">
        <is>
          <t>Medium</t>
        </is>
      </c>
      <c r="O39" s="2" t="inlineStr"/>
      <c r="P39" s="2" t="inlineStr"/>
      <c r="Q39" s="2" t="inlineStr">
        <is>
          <t>S2</t>
        </is>
      </c>
    </row>
    <row r="40">
      <c r="A40" s="2" t="inlineStr">
        <is>
          <t>EPIC-01</t>
        </is>
      </c>
      <c r="B40" s="2" t="inlineStr">
        <is>
          <t>TC-CEPA-011-004</t>
        </is>
      </c>
      <c r="C40" s="2" t="inlineStr">
        <is>
          <t>Functional</t>
        </is>
      </c>
      <c r="D40" s="2" t="inlineStr">
        <is>
          <t>Reingreso vs nueva denuncia</t>
        </is>
      </c>
      <c r="E40" s="2" t="inlineStr">
        <is>
          <t>Generador de folios</t>
        </is>
      </c>
      <c r="F40" s="2" t="inlineStr">
        <is>
          <t>Verificar que un mismo RUT con una DIAT antigua y una DIEP nueva se diferencia como nueva denuncia por número de siniestro</t>
        </is>
      </c>
      <c r="G40" s="2" t="inlineStr">
        <is>
          <t>Web</t>
        </is>
      </c>
      <c r="H40" s="2" t="inlineStr">
        <is>
          <t>Usuario administrativo autenticado; paciente RUT 11.111.111-1 con DIAT registrada en 2020 con siniestro N-2020-0453</t>
        </is>
      </c>
      <c r="I40" s="2" t="inlineStr">
        <is>
          <t>1. Crear un nuevo ingreso para el RUT 11.111.111-1 de tipo DIEP con fecha 2026. 2. Ingresar el número de siniestro N-2026-1187 (distinto al de la DIAT 2020). 3. Completar los campos obligatorios y guardar. 4. Consultar el historial del paciente</t>
        </is>
      </c>
      <c r="J40" s="2" t="inlineStr">
        <is>
          <t>El sistema registra el caso como nueva denuncia (no reingreso), diferenciándola de la DIAT 2020 por el número de siniestro distinto; ambos casos coexisten en el historial</t>
        </is>
      </c>
      <c r="K40" s="2" t="inlineStr"/>
      <c r="L40" s="2" t="inlineStr"/>
      <c r="M40" s="2" t="inlineStr">
        <is>
          <t>P0</t>
        </is>
      </c>
      <c r="N40" s="4" t="inlineStr">
        <is>
          <t>Major</t>
        </is>
      </c>
      <c r="O40" s="2" t="inlineStr"/>
      <c r="P40" s="2" t="inlineStr"/>
      <c r="Q40" s="2" t="inlineStr">
        <is>
          <t>S2</t>
        </is>
      </c>
    </row>
    <row r="41">
      <c r="A41" s="2" t="inlineStr">
        <is>
          <t>EPIC-01</t>
        </is>
      </c>
      <c r="B41" s="2" t="inlineStr">
        <is>
          <t>TC-CEPA-011-005</t>
        </is>
      </c>
      <c r="C41" s="2" t="inlineStr">
        <is>
          <t>Business Rules</t>
        </is>
      </c>
      <c r="D41" s="2" t="inlineStr">
        <is>
          <t>Folio pre-asignado Excel</t>
        </is>
      </c>
      <c r="E41" s="2" t="inlineStr">
        <is>
          <t>Generador de folios</t>
        </is>
      </c>
      <c r="F41" s="2" t="inlineStr">
        <is>
          <t>Verificar que el sistema acepta el ingreso manual de un folio pre-asignado desde el Excel histórico (v4 D2)</t>
        </is>
      </c>
      <c r="G41" s="2" t="inlineStr">
        <is>
          <t>Web</t>
        </is>
      </c>
      <c r="H41" s="2" t="inlineStr">
        <is>
          <t>Usuario administrativo autenticado; folio histórico E-2023-045 pre-asignado en el Excel y no emitido por el contador automático</t>
        </is>
      </c>
      <c r="I41" s="2" t="inlineStr">
        <is>
          <t>1. Crear un nuevo ingreso con la opción de folio manual activada. 2. Ingresar el folio pre-asignado E-2023-045. 3. Completar los campos obligatorios y guardar. 4. Buscar el registro por el folio E-2023-045</t>
        </is>
      </c>
      <c r="J41" s="2" t="inlineStr">
        <is>
          <t>El sistema acepta el folio pre-asignado del Excel, lo persiste y el registro es recuperable por búsqueda de folio</t>
        </is>
      </c>
      <c r="K41" s="2" t="inlineStr"/>
      <c r="L41" s="2" t="inlineStr"/>
      <c r="M41" s="2" t="inlineStr">
        <is>
          <t>P0</t>
        </is>
      </c>
      <c r="N41" s="4" t="inlineStr">
        <is>
          <t>Major</t>
        </is>
      </c>
      <c r="O41" s="2" t="inlineStr"/>
      <c r="P41" s="2" t="inlineStr"/>
      <c r="Q41" s="2" t="inlineStr">
        <is>
          <t>BR-2</t>
        </is>
      </c>
    </row>
    <row r="42">
      <c r="A42" s="2" t="inlineStr">
        <is>
          <t>EPIC-01</t>
        </is>
      </c>
      <c r="B42" s="2" t="inlineStr">
        <is>
          <t>TC-CEPA-011-006</t>
        </is>
      </c>
      <c r="C42" s="2" t="inlineStr">
        <is>
          <t>Business Rules</t>
        </is>
      </c>
      <c r="D42" s="2" t="inlineStr">
        <is>
          <t>Colisión de folio</t>
        </is>
      </c>
      <c r="E42" s="2" t="inlineStr">
        <is>
          <t>Generador de folios</t>
        </is>
      </c>
      <c r="F42" s="2" t="inlineStr">
        <is>
          <t>Verificar que el sistema rechaza un folio manual que colisiona con un folio ya emitido cuando no se trata de un reingreso del mismo paciente</t>
        </is>
      </c>
      <c r="G42" s="2" t="inlineStr">
        <is>
          <t>Web</t>
        </is>
      </c>
      <c r="H42" s="2" t="inlineStr">
        <is>
          <t>Usuario administrativo autenticado; folio F-100 ya emitido para el paciente RUT 11.111.111-1</t>
        </is>
      </c>
      <c r="I42" s="2" t="inlineStr">
        <is>
          <t>1. Crear un nuevo ingreso para un paciente distinto (RUT 12.345.678-5) sin marcar reingreso. 2. Activar la opción de folio manual. 3. Ingresar el folio F-100. 4. Completar los campos obligatorios y hacer clic en 'Guardar'</t>
        </is>
      </c>
      <c r="J42" s="2" t="inlineStr">
        <is>
          <t>El sistema rechaza el guardado con un error de colisión de folio: F-100 ya está emitido para otro paciente y solo puede reutilizarse en un reingreso explícito del mismo paciente</t>
        </is>
      </c>
      <c r="K42" s="2" t="inlineStr"/>
      <c r="L42" s="2" t="inlineStr"/>
      <c r="M42" s="2" t="inlineStr">
        <is>
          <t>P0</t>
        </is>
      </c>
      <c r="N42" s="3" t="inlineStr">
        <is>
          <t>Critical</t>
        </is>
      </c>
      <c r="O42" s="2" t="inlineStr"/>
      <c r="P42" s="2" t="inlineStr"/>
      <c r="Q42" s="2" t="inlineStr">
        <is>
          <t>BR-3</t>
        </is>
      </c>
    </row>
    <row r="43">
      <c r="A43" s="2" t="inlineStr">
        <is>
          <t>EPIC-01</t>
        </is>
      </c>
      <c r="B43" s="2" t="inlineStr">
        <is>
          <t>TC-CEPA-011-007</t>
        </is>
      </c>
      <c r="C43" s="2" t="inlineStr">
        <is>
          <t>Business Rules</t>
        </is>
      </c>
      <c r="D43" s="2" t="inlineStr">
        <is>
          <t>Continuidad del contador</t>
        </is>
      </c>
      <c r="E43" s="2" t="inlineStr">
        <is>
          <t>Generador de folios</t>
        </is>
      </c>
      <c r="F43" s="2" t="inlineStr">
        <is>
          <t>Verificar que el contador secuencial automático continúa sin saltos no controlados después de un ingreso con folio manual</t>
        </is>
      </c>
      <c r="G43" s="2" t="inlineStr">
        <is>
          <t>Web/API</t>
        </is>
      </c>
      <c r="H43" s="2" t="inlineStr">
        <is>
          <t>Usuario administrativo autenticado; último folio automático emitido F-200; ingreso con folio manual F-950 recién registrado</t>
        </is>
      </c>
      <c r="I43" s="2" t="inlineStr">
        <is>
          <t>1. Registrar un ingreso con folio manual F-950. 2. Crear un nuevo ingreso sin indicar folio. 3. Guardar y registrar el folio automático asignado. 4. Crear otro ingreso automático y registrar su folio</t>
        </is>
      </c>
      <c r="J43" s="2" t="inlineStr">
        <is>
          <t>El contador automático continúa la secuencia previa (F-201, F-202), sin saltar a F-951 ni dejar huecos no controlados por el folio manual intercalado</t>
        </is>
      </c>
      <c r="K43" s="2" t="inlineStr"/>
      <c r="L43" s="2" t="inlineStr"/>
      <c r="M43" s="2" t="inlineStr">
        <is>
          <t>P0</t>
        </is>
      </c>
      <c r="N43" s="5" t="inlineStr">
        <is>
          <t>Medium</t>
        </is>
      </c>
      <c r="O43" s="2" t="inlineStr"/>
      <c r="P43" s="2" t="inlineStr"/>
      <c r="Q43" s="2" t="inlineStr">
        <is>
          <t>BR-5</t>
        </is>
      </c>
    </row>
    <row r="44">
      <c r="A44" s="2" t="inlineStr">
        <is>
          <t>EPIC-01</t>
        </is>
      </c>
      <c r="B44" s="2" t="inlineStr">
        <is>
          <t>TC-CEPA-011-008</t>
        </is>
      </c>
      <c r="C44" s="2" t="inlineStr">
        <is>
          <t>Security</t>
        </is>
      </c>
      <c r="D44" s="2" t="inlineStr">
        <is>
          <t>RBAC</t>
        </is>
      </c>
      <c r="E44" s="2" t="inlineStr">
        <is>
          <t>Control de acceso de ingresos</t>
        </is>
      </c>
      <c r="F44" s="2" t="inlineStr">
        <is>
          <t>Verificar que el perfil Auditor no puede editar folios manualmente</t>
        </is>
      </c>
      <c r="G44" s="2" t="inlineStr">
        <is>
          <t>Web/API</t>
        </is>
      </c>
      <c r="H44" s="2" t="inlineStr">
        <is>
          <t>Usuario con perfil Auditor autenticado; ingreso existente con folio F-121</t>
        </is>
      </c>
      <c r="I44" s="2" t="inlineStr">
        <is>
          <t>1. Abrir el detalle de un ingreso como Auditor. 2. Intentar activar la opción de folio manual o editar el folio. 3. Enviar por API una petición de actualización de folio con el token del Auditor</t>
        </is>
      </c>
      <c r="J44" s="2" t="inlineStr">
        <is>
          <t>La edición de folio no está disponible en la UI para el Auditor y la API responde HTTP 403; el folio no se modifica</t>
        </is>
      </c>
      <c r="K44" s="2" t="inlineStr"/>
      <c r="L44" s="2" t="inlineStr"/>
      <c r="M44" s="2" t="inlineStr">
        <is>
          <t>P0</t>
        </is>
      </c>
      <c r="N44" s="3" t="inlineStr">
        <is>
          <t>Critical</t>
        </is>
      </c>
      <c r="O44" s="2" t="inlineStr"/>
      <c r="P44" s="2" t="inlineStr"/>
      <c r="Q44" s="2" t="inlineStr">
        <is>
          <t>TC-legacy</t>
        </is>
      </c>
    </row>
    <row r="45">
      <c r="A45" s="2" t="inlineStr">
        <is>
          <t>EPIC-01</t>
        </is>
      </c>
      <c r="B45" s="2" t="inlineStr">
        <is>
          <t>TC-CEPA-012-001</t>
        </is>
      </c>
      <c r="C45" s="2" t="inlineStr">
        <is>
          <t>Functional</t>
        </is>
      </c>
      <c r="D45" s="2" t="inlineStr">
        <is>
          <t>Búsqueda multicriterio</t>
        </is>
      </c>
      <c r="E45" s="2" t="inlineStr">
        <is>
          <t>Motor de búsqueda 360°</t>
        </is>
      </c>
      <c r="F45" s="2" t="inlineStr">
        <is>
          <t>Verificar que la búsqueda por RUT, nombre o folio muestra el paciente con todas sus dimensiones (ingresos, fármacos, licencias, controles, reintegro) en una sola pantalla</t>
        </is>
      </c>
      <c r="G45" s="2" t="inlineStr">
        <is>
          <t>Web</t>
        </is>
      </c>
      <c r="H45" s="2" t="inlineStr">
        <is>
          <t>Usuario administrativo autenticado; paciente RUT 11.111.111-1 con folio F-001 y datos en los módulos Ingresos, Fármacos, Licencias, Controles y Reintegro</t>
        </is>
      </c>
      <c r="I45" s="2" t="inlineStr">
        <is>
          <t>1. Navegar a la pantalla de búsqueda. 2. Buscar por RUT 11.111.111-1 y abrir el resultado. 3. Verificar las secciones de la vista 360°. 4. Repetir la búsqueda por folio F-001. 5. Repetir la búsqueda por nombre completo del paciente</t>
        </is>
      </c>
      <c r="J45" s="2" t="inlineStr">
        <is>
          <t>Con los tres criterios (RUT, nombre, folio) se llega al mismo paciente y la vista 360° muestra en una sola pantalla sus ingresos, fármacos, licencias, controles y reintegro vinculados por folio/RUT</t>
        </is>
      </c>
      <c r="K45" s="2" t="inlineStr"/>
      <c r="L45" s="2" t="inlineStr"/>
      <c r="M45" s="2" t="inlineStr">
        <is>
          <t>P0</t>
        </is>
      </c>
      <c r="N45" s="3" t="inlineStr">
        <is>
          <t>Critical</t>
        </is>
      </c>
      <c r="O45" s="2" t="inlineStr"/>
      <c r="P45" s="2" t="inlineStr"/>
      <c r="Q45" s="2" t="inlineStr">
        <is>
          <t>S1</t>
        </is>
      </c>
    </row>
    <row r="46">
      <c r="A46" s="2" t="inlineStr">
        <is>
          <t>EPIC-01</t>
        </is>
      </c>
      <c r="B46" s="2" t="inlineStr">
        <is>
          <t>TC-CEPA-012-002</t>
        </is>
      </c>
      <c r="C46" s="2" t="inlineStr">
        <is>
          <t>Performance</t>
        </is>
      </c>
      <c r="D46" s="2" t="inlineStr">
        <is>
          <t>Tiempo de respuesta</t>
        </is>
      </c>
      <c r="E46" s="2" t="inlineStr">
        <is>
          <t>Motor de búsqueda 360°</t>
        </is>
      </c>
      <c r="F46" s="2" t="inlineStr">
        <is>
          <t>Verificar que el estado consolidado completo de un caso se presenta en menos de 10 segundos (OU3)</t>
        </is>
      </c>
      <c r="G46" s="2" t="inlineStr">
        <is>
          <t>Web/API</t>
        </is>
      </c>
      <c r="H46" s="2" t="inlineStr">
        <is>
          <t>Usuario administrativo autenticado; paciente con historial extenso (varios ingresos, fármacos, licencias, controles y reintegro); volumen de datos representativo (846+ ingresos)</t>
        </is>
      </c>
      <c r="I46" s="2" t="inlineStr">
        <is>
          <t>1. Buscar al paciente con historial extenso por RUT. 2. Abrir la vista 360° y medir el tiempo hasta que el estado consolidado esté completamente presentado. 3. Repetir la medición 5 veces y registrar los tiempos. 4. Medir además el tiempo de respuesta del endpoint API asociado</t>
        </is>
      </c>
      <c r="J46" s="2" t="inlineStr">
        <is>
          <t>El estado completo del caso se presenta en menos de 10 segundos en todas las mediciones (objetivo OU3), con respuesta del sistema &lt; 2 s para los volúmenes actuales</t>
        </is>
      </c>
      <c r="K46" s="2" t="inlineStr"/>
      <c r="L46" s="2" t="inlineStr"/>
      <c r="M46" s="2" t="inlineStr">
        <is>
          <t>P0</t>
        </is>
      </c>
      <c r="N46" s="4" t="inlineStr">
        <is>
          <t>Major</t>
        </is>
      </c>
      <c r="O46" s="2" t="inlineStr"/>
      <c r="P46" s="2" t="inlineStr"/>
      <c r="Q46" s="2" t="inlineStr">
        <is>
          <t>S1</t>
        </is>
      </c>
    </row>
    <row r="47">
      <c r="A47" s="2" t="inlineStr">
        <is>
          <t>EPIC-01</t>
        </is>
      </c>
      <c r="B47" s="2" t="inlineStr">
        <is>
          <t>TC-CEPA-012-003</t>
        </is>
      </c>
      <c r="C47" s="2" t="inlineStr">
        <is>
          <t>Functional</t>
        </is>
      </c>
      <c r="D47" s="2" t="inlineStr">
        <is>
          <t>Sin resultados</t>
        </is>
      </c>
      <c r="E47" s="2" t="inlineStr">
        <is>
          <t>Motor de búsqueda 360°</t>
        </is>
      </c>
      <c r="F47" s="2" t="inlineStr">
        <is>
          <t>Verificar que la búsqueda de un término inexistente informa que no hay resultados sin producir un error de sistema</t>
        </is>
      </c>
      <c r="G47" s="2" t="inlineStr">
        <is>
          <t>Web</t>
        </is>
      </c>
      <c r="H47" s="2" t="inlineStr">
        <is>
          <t>Usuario administrativo autenticado; RUT 99.999.999-9 no registrado en el sistema</t>
        </is>
      </c>
      <c r="I47" s="2" t="inlineStr">
        <is>
          <t>1. Navegar a la pantalla de búsqueda. 2. Buscar el RUT 99.999.999-9. 3. Buscar el folio inexistente F-99999. 4. Buscar el nombre 'Zzyzx Inexistente'</t>
        </is>
      </c>
      <c r="J47" s="2" t="inlineStr">
        <is>
          <t>En los tres casos el sistema muestra un mensaje controlado de 'sin resultados', sin errores de sistema, excepciones ni pantallas en blanco</t>
        </is>
      </c>
      <c r="K47" s="2" t="inlineStr"/>
      <c r="L47" s="2" t="inlineStr"/>
      <c r="M47" s="2" t="inlineStr">
        <is>
          <t>P0</t>
        </is>
      </c>
      <c r="N47" s="5" t="inlineStr">
        <is>
          <t>Medium</t>
        </is>
      </c>
      <c r="O47" s="2" t="inlineStr"/>
      <c r="P47" s="2" t="inlineStr"/>
      <c r="Q47" s="2" t="inlineStr">
        <is>
          <t>S2</t>
        </is>
      </c>
    </row>
    <row r="48">
      <c r="A48" s="2" t="inlineStr">
        <is>
          <t>EPIC-01</t>
        </is>
      </c>
      <c r="B48" s="2" t="inlineStr">
        <is>
          <t>TC-CEPA-012-004</t>
        </is>
      </c>
      <c r="C48" s="2" t="inlineStr">
        <is>
          <t>Functional</t>
        </is>
      </c>
      <c r="D48" s="2" t="inlineStr">
        <is>
          <t>Coincidencias múltiples</t>
        </is>
      </c>
      <c r="E48" s="2" t="inlineStr">
        <is>
          <t>Motor de búsqueda 360°</t>
        </is>
      </c>
      <c r="F48" s="2" t="inlineStr">
        <is>
          <t>Verificar que la búsqueda por nombre parcial con coincidencias múltiples lista los pacientes coincidentes para seleccionar</t>
        </is>
      </c>
      <c r="G48" s="2" t="inlineStr">
        <is>
          <t>Web</t>
        </is>
      </c>
      <c r="H48" s="2" t="inlineStr">
        <is>
          <t>Usuario administrativo autenticado; al menos 3 pacientes registrados con apellido 'González'</t>
        </is>
      </c>
      <c r="I48" s="2" t="inlineStr">
        <is>
          <t>1. Navegar a la pantalla de búsqueda. 2. Ingresar el nombre parcial 'González'. 3. Ejecutar la búsqueda. 4. Seleccionar uno de los pacientes listados</t>
        </is>
      </c>
      <c r="J48" s="2" t="inlineStr">
        <is>
          <t>El sistema lista todos los pacientes coincidentes con datos distintivos (RUT, folio) y al seleccionar uno abre su vista 360°</t>
        </is>
      </c>
      <c r="K48" s="2" t="inlineStr"/>
      <c r="L48" s="2" t="inlineStr"/>
      <c r="M48" s="2" t="inlineStr">
        <is>
          <t>P0</t>
        </is>
      </c>
      <c r="N48" s="5" t="inlineStr">
        <is>
          <t>Medium</t>
        </is>
      </c>
      <c r="O48" s="2" t="inlineStr"/>
      <c r="P48" s="2" t="inlineStr"/>
      <c r="Q48" s="2" t="inlineStr">
        <is>
          <t>S2</t>
        </is>
      </c>
    </row>
    <row r="49">
      <c r="A49" s="2" t="inlineStr">
        <is>
          <t>EPIC-01</t>
        </is>
      </c>
      <c r="B49" s="2" t="inlineStr">
        <is>
          <t>TC-CEPA-012-005</t>
        </is>
      </c>
      <c r="C49" s="2" t="inlineStr">
        <is>
          <t>Security</t>
        </is>
      </c>
      <c r="D49" s="2" t="inlineStr">
        <is>
          <t>RBAC</t>
        </is>
      </c>
      <c r="E49" s="2" t="inlineStr">
        <is>
          <t>Control de acceso vista 360°</t>
        </is>
      </c>
      <c r="F49" s="2" t="inlineStr">
        <is>
          <t>Verificar que el perfil Auditor accede a la vista 360° en modo solo lectura, sin acciones de edición</t>
        </is>
      </c>
      <c r="G49" s="2" t="inlineStr">
        <is>
          <t>Web/API</t>
        </is>
      </c>
      <c r="H49" s="2" t="inlineStr">
        <is>
          <t>Usuario con perfil Auditor autenticado; paciente RUT 11.111.111-1 con datos en varios módulos</t>
        </is>
      </c>
      <c r="I49" s="2" t="inlineStr">
        <is>
          <t>1. Buscar al paciente por RUT como Auditor. 2. Abrir la vista 360°. 3. Verificar la ausencia de botones/acciones de edición en cada dimensión. 4. Intentar una petición de escritura vía API con el token del Auditor</t>
        </is>
      </c>
      <c r="J49" s="2" t="inlineStr">
        <is>
          <t>El Auditor visualiza todas las dimensiones de la vista 360° pero sin controles de edición; cualquier petición de escritura por API responde HTTP 403 (RBAC)</t>
        </is>
      </c>
      <c r="K49" s="2" t="inlineStr"/>
      <c r="L49" s="2" t="inlineStr"/>
      <c r="M49" s="2" t="inlineStr">
        <is>
          <t>P0</t>
        </is>
      </c>
      <c r="N49" s="3" t="inlineStr">
        <is>
          <t>Critical</t>
        </is>
      </c>
      <c r="O49" s="2" t="inlineStr"/>
      <c r="P49" s="2" t="inlineStr"/>
      <c r="Q49" s="2" t="inlineStr">
        <is>
          <t>BR-4</t>
        </is>
      </c>
    </row>
    <row r="50">
      <c r="A50" s="2" t="inlineStr">
        <is>
          <t>EPIC-01</t>
        </is>
      </c>
      <c r="B50" s="2" t="inlineStr">
        <is>
          <t>TC-CEPA-013-001</t>
        </is>
      </c>
      <c r="C50" s="2" t="inlineStr">
        <is>
          <t>Functional</t>
        </is>
      </c>
      <c r="D50" s="2" t="inlineStr">
        <is>
          <t>Registro de hitos iniciales</t>
        </is>
      </c>
      <c r="E50" s="2" t="inlineStr">
        <is>
          <t>Seguimiento de hitos clínicos</t>
        </is>
      </c>
      <c r="F50" s="2" t="inlineStr">
        <is>
          <t>Verificar que se registran la fecha de primera acogida y el estado del consentimiento informado en el caso</t>
        </is>
      </c>
      <c r="G50" s="2" t="inlineStr">
        <is>
          <t>Web</t>
        </is>
      </c>
      <c r="H50" s="2" t="inlineStr">
        <is>
          <t>Usuario administrativo autenticado; ingreso registrado con folio F-121</t>
        </is>
      </c>
      <c r="I50" s="2" t="inlineStr">
        <is>
          <t>1. Abrir el seguimiento del ingreso F-121. 2. Registrar la fecha de primera acogida 03-07-2026. 3. Registrar el estado del consentimiento informado como 'firmado'. 4. Guardar. 5. Reabrir el seguimiento del caso</t>
        </is>
      </c>
      <c r="J50" s="2" t="inlineStr">
        <is>
          <t>La fecha de primera acogida y el estado del consentimiento quedan guardados en el caso y visibles en el seguimiento</t>
        </is>
      </c>
      <c r="K50" s="2" t="inlineStr"/>
      <c r="L50" s="2" t="inlineStr"/>
      <c r="M50" s="2" t="inlineStr">
        <is>
          <t>P0</t>
        </is>
      </c>
      <c r="N50" s="4" t="inlineStr">
        <is>
          <t>Major</t>
        </is>
      </c>
      <c r="O50" s="2" t="inlineStr"/>
      <c r="P50" s="2" t="inlineStr"/>
      <c r="Q50" s="2" t="inlineStr">
        <is>
          <t>S1</t>
        </is>
      </c>
    </row>
    <row r="51">
      <c r="A51" s="2" t="inlineStr">
        <is>
          <t>EPIC-01</t>
        </is>
      </c>
      <c r="B51" s="2" t="inlineStr">
        <is>
          <t>TC-CEPA-013-002</t>
        </is>
      </c>
      <c r="C51" s="2" t="inlineStr">
        <is>
          <t>Functional</t>
        </is>
      </c>
      <c r="D51" s="2" t="inlineStr">
        <is>
          <t>Registro de evaluaciones</t>
        </is>
      </c>
      <c r="E51" s="2" t="inlineStr">
        <is>
          <t>Seguimiento de hitos clínicos</t>
        </is>
      </c>
      <c r="F51" s="2" t="inlineStr">
        <is>
          <t>Verificar que el registro de la evaluación médica (estado, médico, diagnóstico) y psicológica (estado, psicólogo) actualiza el avance del proceso del caso</t>
        </is>
      </c>
      <c r="G51" s="2" t="inlineStr">
        <is>
          <t>Web</t>
        </is>
      </c>
      <c r="H51" s="2" t="inlineStr">
        <is>
          <t>Usuario administrativo autenticado; ingreso F-121 en etapa de evaluación</t>
        </is>
      </c>
      <c r="I51" s="2" t="inlineStr">
        <is>
          <t>1. Abrir el seguimiento del ingreso F-121. 2. Registrar evaluación médica: estado 'realizada', médico 'Dra. Carla Rojas', diagnóstico 'Trastorno adaptativo'. 3. Registrar evaluación psicológica: estado 'realizada', psicólogo 'Ps. Andrés Muñoz'. 4. Guardar y revisar el avance del proceso</t>
        </is>
      </c>
      <c r="J51" s="2" t="inlineStr">
        <is>
          <t>El sistema guarda ambas evaluaciones con sus estados y profesionales asignados y actualiza el avance del proceso del caso</t>
        </is>
      </c>
      <c r="K51" s="2" t="inlineStr"/>
      <c r="L51" s="2" t="inlineStr"/>
      <c r="M51" s="2" t="inlineStr">
        <is>
          <t>P0</t>
        </is>
      </c>
      <c r="N51" s="4" t="inlineStr">
        <is>
          <t>Major</t>
        </is>
      </c>
      <c r="O51" s="2" t="inlineStr"/>
      <c r="P51" s="2" t="inlineStr"/>
      <c r="Q51" s="2" t="inlineStr">
        <is>
          <t>S1</t>
        </is>
      </c>
    </row>
    <row r="52">
      <c r="A52" s="2" t="inlineStr">
        <is>
          <t>EPIC-01</t>
        </is>
      </c>
      <c r="B52" s="2" t="inlineStr">
        <is>
          <t>TC-CEPA-013-003</t>
        </is>
      </c>
      <c r="C52" s="2" t="inlineStr">
        <is>
          <t>Functional</t>
        </is>
      </c>
      <c r="D52" s="2" t="inlineStr">
        <is>
          <t>Incumplimiento de plazo</t>
        </is>
      </c>
      <c r="E52" s="2" t="inlineStr">
        <is>
          <t>Validador de plazos por programa</t>
        </is>
      </c>
      <c r="F52" s="2" t="inlineStr">
        <is>
          <t>Verificar que cuando la evaluación no se realiza dentro del plazo del programa el validador indica incumplimiento de plazo (v4 D10)</t>
        </is>
      </c>
      <c r="G52" s="2" t="inlineStr">
        <is>
          <t>Web</t>
        </is>
      </c>
      <c r="H52" s="2" t="inlineStr">
        <is>
          <t>Usuario administrativo autenticado; ingreso F-121 asociado a un programa con plazo de informe de 10 días hábiles; fecha de ingreso hace 15 días hábiles</t>
        </is>
      </c>
      <c r="I52" s="2" t="inlineStr">
        <is>
          <t>1. Abrir el seguimiento del ingreso F-121. 2. Registrar la evaluación médica con fecha posterior al vencimiento del plazo del programa. 3. Guardar. 4. Revisar el indicador del validador de estado del caso</t>
        </is>
      </c>
      <c r="J52" s="2" t="inlineStr">
        <is>
          <t>El validador de estado marca el caso como 'fuera de plazo' / incumplimiento de plazo según el plazo definido para el programa</t>
        </is>
      </c>
      <c r="K52" s="2" t="inlineStr"/>
      <c r="L52" s="2" t="inlineStr"/>
      <c r="M52" s="2" t="inlineStr">
        <is>
          <t>P0</t>
        </is>
      </c>
      <c r="N52" s="4" t="inlineStr">
        <is>
          <t>Major</t>
        </is>
      </c>
      <c r="O52" s="2" t="inlineStr"/>
      <c r="P52" s="2" t="inlineStr"/>
      <c r="Q52" s="2" t="inlineStr">
        <is>
          <t>S3</t>
        </is>
      </c>
    </row>
    <row r="53">
      <c r="A53" s="2" t="inlineStr">
        <is>
          <t>EPIC-01</t>
        </is>
      </c>
      <c r="B53" s="2" t="inlineStr">
        <is>
          <t>TC-CEPA-013-004</t>
        </is>
      </c>
      <c r="C53" s="2" t="inlineStr">
        <is>
          <t>Functional</t>
        </is>
      </c>
      <c r="D53" s="2" t="inlineStr">
        <is>
          <t>Registro de hitos avanzados</t>
        </is>
      </c>
      <c r="E53" s="2" t="inlineStr">
        <is>
          <t>Seguimiento de hitos clínicos</t>
        </is>
      </c>
      <c r="F53" s="2" t="inlineStr">
        <is>
          <t>Verificar que se almacenan y muestran obstaculización, plazo y fecha de envío de informe, y RECA EP/EC</t>
        </is>
      </c>
      <c r="G53" s="2" t="inlineStr">
        <is>
          <t>Web</t>
        </is>
      </c>
      <c r="H53" s="2" t="inlineStr">
        <is>
          <t>Usuario administrativo autenticado; ingreso F-121 en proceso</t>
        </is>
      </c>
      <c r="I53" s="2" t="inlineStr">
        <is>
          <t>1. Abrir el seguimiento del ingreso F-121. 2. Registrar obstaculización = 'sí'. 3. Registrar plazo de envío de informe 15-07-2026 y fecha real de envío 14-07-2026. 4. Registrar RECA EP/EC. 5. Guardar y revisar la vista de seguimiento</t>
        </is>
      </c>
      <c r="J53" s="2" t="inlineStr">
        <is>
          <t>El sistema almacena obstaculización, plazo y fecha de envío de informe y RECA EP/EC, y los muestra en el seguimiento del caso</t>
        </is>
      </c>
      <c r="K53" s="2" t="inlineStr"/>
      <c r="L53" s="2" t="inlineStr"/>
      <c r="M53" s="2" t="inlineStr">
        <is>
          <t>P0</t>
        </is>
      </c>
      <c r="N53" s="4" t="inlineStr">
        <is>
          <t>Major</t>
        </is>
      </c>
      <c r="O53" s="2" t="inlineStr"/>
      <c r="P53" s="2" t="inlineStr"/>
      <c r="Q53" s="2" t="inlineStr">
        <is>
          <t>S1</t>
        </is>
      </c>
    </row>
    <row r="54">
      <c r="A54" s="2" t="inlineStr">
        <is>
          <t>EPIC-01</t>
        </is>
      </c>
      <c r="B54" s="2" t="inlineStr">
        <is>
          <t>TC-CEPA-013-005</t>
        </is>
      </c>
      <c r="C54" s="2" t="inlineStr">
        <is>
          <t>Business Rules</t>
        </is>
      </c>
      <c r="D54" s="2" t="inlineStr">
        <is>
          <t>Estado 'no aplica'</t>
        </is>
      </c>
      <c r="E54" s="2" t="inlineStr">
        <is>
          <t>Seguimiento de hitos clínicos</t>
        </is>
      </c>
      <c r="F54" s="2" t="inlineStr">
        <is>
          <t>Verificar que una evaluación marcada 'no aplica' se acepta sin exigir médico ni diagnóstico y que solo se admiten los estados realizada/pendiente/no aplica</t>
        </is>
      </c>
      <c r="G54" s="2" t="inlineStr">
        <is>
          <t>Web/API</t>
        </is>
      </c>
      <c r="H54" s="2" t="inlineStr">
        <is>
          <t>Usuario administrativo autenticado; ingreso F-121 en etapa de evaluación</t>
        </is>
      </c>
      <c r="I54" s="2" t="inlineStr">
        <is>
          <t>1. Abrir el seguimiento del ingreso F-121. 2. Marcar la evaluación médica con estado 'no aplica' sin asignar médico ni diagnóstico. 3. Guardar el caso. 4. Enviar por API un estado de evaluación fuera de catálogo (ej. 'en curso') y registrar la respuesta</t>
        </is>
      </c>
      <c r="J54" s="2" t="inlineStr">
        <is>
          <t>El caso se guarda aceptando 'no aplica' sin exigir médico/diagnóstico; el estado fuera de catálogo es rechazado (solo realizada/pendiente/no aplica)</t>
        </is>
      </c>
      <c r="K54" s="2" t="inlineStr"/>
      <c r="L54" s="2" t="inlineStr"/>
      <c r="M54" s="2" t="inlineStr">
        <is>
          <t>P0</t>
        </is>
      </c>
      <c r="N54" s="5" t="inlineStr">
        <is>
          <t>Medium</t>
        </is>
      </c>
      <c r="O54" s="2" t="inlineStr"/>
      <c r="P54" s="2" t="inlineStr"/>
      <c r="Q54" s="2" t="inlineStr">
        <is>
          <t>BR-2</t>
        </is>
      </c>
    </row>
    <row r="55">
      <c r="A55" s="2" t="inlineStr">
        <is>
          <t>EPIC-01</t>
        </is>
      </c>
      <c r="B55" s="2" t="inlineStr">
        <is>
          <t>TC-CEPA-013-006</t>
        </is>
      </c>
      <c r="C55" s="2" t="inlineStr">
        <is>
          <t>Business Rules</t>
        </is>
      </c>
      <c r="D55" s="2" t="inlineStr">
        <is>
          <t>Cumplimiento en plazo</t>
        </is>
      </c>
      <c r="E55" s="2" t="inlineStr">
        <is>
          <t>Validador de plazos por programa</t>
        </is>
      </c>
      <c r="F55" s="2" t="inlineStr">
        <is>
          <t>Verificar que una evaluación realizada dentro del plazo del programa es marcada como 'en plazo' por el validador</t>
        </is>
      </c>
      <c r="G55" s="2" t="inlineStr">
        <is>
          <t>Web</t>
        </is>
      </c>
      <c r="H55" s="2" t="inlineStr">
        <is>
          <t>Usuario administrativo autenticado; ingreso asociado a un programa con plazo de 10 días hábiles; evaluación realizada al día 5</t>
        </is>
      </c>
      <c r="I55" s="2" t="inlineStr">
        <is>
          <t>1. Abrir el seguimiento del ingreso. 2. Registrar la evaluación médica con fecha dentro del plazo del programa. 3. Guardar. 4. Revisar el estado de cumplimiento expuesto por el validador</t>
        </is>
      </c>
      <c r="J55" s="2" t="inlineStr">
        <is>
          <t>El validador calcula el cumplimiento según el plazo del programa y marca el caso como 'en plazo'</t>
        </is>
      </c>
      <c r="K55" s="2" t="inlineStr"/>
      <c r="L55" s="2" t="inlineStr"/>
      <c r="M55" s="2" t="inlineStr">
        <is>
          <t>P0</t>
        </is>
      </c>
      <c r="N55" s="4" t="inlineStr">
        <is>
          <t>Major</t>
        </is>
      </c>
      <c r="O55" s="2" t="inlineStr"/>
      <c r="P55" s="2" t="inlineStr"/>
      <c r="Q55" s="2" t="inlineStr">
        <is>
          <t>BR-3</t>
        </is>
      </c>
    </row>
    <row r="56">
      <c r="A56" s="2" t="inlineStr">
        <is>
          <t>EPIC-01</t>
        </is>
      </c>
      <c r="B56" s="2" t="inlineStr">
        <is>
          <t>TC-CEPA-013-007</t>
        </is>
      </c>
      <c r="C56" s="2" t="inlineStr">
        <is>
          <t>Business Rules</t>
        </is>
      </c>
      <c r="D56" s="2" t="inlineStr">
        <is>
          <t>Auditoría</t>
        </is>
      </c>
      <c r="E56" s="2" t="inlineStr">
        <is>
          <t>Log de auditoría</t>
        </is>
      </c>
      <c r="F56" s="2" t="inlineStr">
        <is>
          <t>Verificar que cada hito registrado en el seguimiento queda con trazabilidad de quién y cuándo en el log de auditoría</t>
        </is>
      </c>
      <c r="G56" s="2" t="inlineStr">
        <is>
          <t>Web/API</t>
        </is>
      </c>
      <c r="H56" s="2" t="inlineStr">
        <is>
          <t>Usuario administrativo 'admin01' autenticado; ingreso F-121; acceso al log de auditoría</t>
        </is>
      </c>
      <c r="I56" s="2" t="inlineStr">
        <is>
          <t>1. Registrar como 'admin01' la fecha de primera acogida en el ingreso F-121. 2. Registrar la evaluación médica. 3. Consultar el log de auditoría del caso F-121</t>
        </is>
      </c>
      <c r="J56" s="2" t="inlineStr">
        <is>
          <t>Cada hito registrado tiene una entrada en el log de auditoría con el usuario autor ('admin01'), fecha/hora y la operación realizada</t>
        </is>
      </c>
      <c r="K56" s="2" t="inlineStr"/>
      <c r="L56" s="2" t="inlineStr"/>
      <c r="M56" s="2" t="inlineStr">
        <is>
          <t>P0</t>
        </is>
      </c>
      <c r="N56" s="4" t="inlineStr">
        <is>
          <t>Major</t>
        </is>
      </c>
      <c r="O56" s="2" t="inlineStr"/>
      <c r="P56" s="2" t="inlineStr"/>
      <c r="Q56" s="2" t="inlineStr">
        <is>
          <t>BR-4</t>
        </is>
      </c>
    </row>
    <row r="57">
      <c r="A57" s="2" t="inlineStr">
        <is>
          <t>EPIC-01</t>
        </is>
      </c>
      <c r="B57" s="2" t="inlineStr">
        <is>
          <t>TC-CEPA-013-008</t>
        </is>
      </c>
      <c r="C57" s="2" t="inlineStr">
        <is>
          <t>Security</t>
        </is>
      </c>
      <c r="D57" s="2" t="inlineStr">
        <is>
          <t>RBAC</t>
        </is>
      </c>
      <c r="E57" s="2" t="inlineStr">
        <is>
          <t>Control de acceso de seguimiento</t>
        </is>
      </c>
      <c r="F57" s="2" t="inlineStr">
        <is>
          <t>Verificar que el perfil Auditor visualiza el seguimiento en solo lectura y no puede editar hitos</t>
        </is>
      </c>
      <c r="G57" s="2" t="inlineStr">
        <is>
          <t>Web/API</t>
        </is>
      </c>
      <c r="H57" s="2" t="inlineStr">
        <is>
          <t>Usuario con perfil Auditor autenticado; ingreso F-121 con hitos registrados</t>
        </is>
      </c>
      <c r="I57" s="2" t="inlineStr">
        <is>
          <t>1. Abrir el seguimiento del ingreso F-121 como Auditor. 2. Intentar editar un hito (fecha de acogida o estado de evaluación). 3. Enviar por API una actualización de hito con el token del Auditor</t>
        </is>
      </c>
      <c r="J57" s="2" t="inlineStr">
        <is>
          <t>El Auditor visualiza los hitos pero la edición no está disponible; la API responde HTTP 403 y el hito no se modifica</t>
        </is>
      </c>
      <c r="K57" s="2" t="inlineStr"/>
      <c r="L57" s="2" t="inlineStr"/>
      <c r="M57" s="2" t="inlineStr">
        <is>
          <t>P0</t>
        </is>
      </c>
      <c r="N57" s="3" t="inlineStr">
        <is>
          <t>Critical</t>
        </is>
      </c>
      <c r="O57" s="2" t="inlineStr"/>
      <c r="P57" s="2" t="inlineStr"/>
      <c r="Q57" s="2" t="inlineStr">
        <is>
          <t>BR-5</t>
        </is>
      </c>
    </row>
    <row r="58">
      <c r="A58" s="2" t="inlineStr">
        <is>
          <t>EPIC-01</t>
        </is>
      </c>
      <c r="B58" s="2" t="inlineStr">
        <is>
          <t>TC-CEPA-014-001</t>
        </is>
      </c>
      <c r="C58" s="2" t="inlineStr">
        <is>
          <t>Functional</t>
        </is>
      </c>
      <c r="D58" s="2" t="inlineStr">
        <is>
          <t>Cambio de estado</t>
        </is>
      </c>
      <c r="E58" s="2" t="inlineStr">
        <is>
          <t>Módulo de cierre y alta</t>
        </is>
      </c>
      <c r="F58" s="2" t="inlineStr">
        <is>
          <t>Verificar que el cambio de estado del caso a cerrado o derivado se actualiza y se refleja en la vista del paciente</t>
        </is>
      </c>
      <c r="G58" s="2" t="inlineStr">
        <is>
          <t>Web</t>
        </is>
      </c>
      <c r="H58" s="2" t="inlineStr">
        <is>
          <t>Usuario administrativo autenticado; caso activo con folio F-121</t>
        </is>
      </c>
      <c r="I58" s="2" t="inlineStr">
        <is>
          <t>1. Abrir el caso F-121. 2. Cambiar el estado a 'cerrado' y guardar. 3. Abrir la vista del paciente y verificar el estado. 4. En un segundo caso activo, cambiar el estado a 'derivado' con observaciones y guardar. 5. Verificar la vista del paciente del segundo caso</t>
        </is>
      </c>
      <c r="J58" s="2" t="inlineStr">
        <is>
          <t>El sistema actualiza el estado del caso (cerrado / derivado) y lo refleja de inmediato en la vista del paciente; las observaciones del caso derivado quedan persistidas</t>
        </is>
      </c>
      <c r="K58" s="2" t="inlineStr"/>
      <c r="L58" s="2" t="inlineStr"/>
      <c r="M58" s="2" t="inlineStr">
        <is>
          <t>P0</t>
        </is>
      </c>
      <c r="N58" s="3" t="inlineStr">
        <is>
          <t>Critical</t>
        </is>
      </c>
      <c r="O58" s="2" t="inlineStr"/>
      <c r="P58" s="2" t="inlineStr"/>
      <c r="Q58" s="2" t="inlineStr">
        <is>
          <t>S1</t>
        </is>
      </c>
    </row>
    <row r="59">
      <c r="A59" s="2" t="inlineStr">
        <is>
          <t>EPIC-01</t>
        </is>
      </c>
      <c r="B59" s="2" t="inlineStr">
        <is>
          <t>TC-CEPA-014-002</t>
        </is>
      </c>
      <c r="C59" s="2" t="inlineStr">
        <is>
          <t>Functional</t>
        </is>
      </c>
      <c r="D59" s="2" t="inlineStr">
        <is>
          <t>Tipo de alta</t>
        </is>
      </c>
      <c r="E59" s="2" t="inlineStr">
        <is>
          <t>Módulo de cierre y alta</t>
        </is>
      </c>
      <c r="F59" s="2" t="inlineStr">
        <is>
          <t>Verificar que al cerrar un caso se registra el tipo de alta del catálogo (terapéutica, médica, psicológica, abandono, derivación) con su fecha asociada</t>
        </is>
      </c>
      <c r="G59" s="2" t="inlineStr">
        <is>
          <t>Web</t>
        </is>
      </c>
      <c r="H59" s="2" t="inlineStr">
        <is>
          <t>Usuario administrativo autenticado; caso activo F-121 en proceso de cierre</t>
        </is>
      </c>
      <c r="I59" s="2" t="inlineStr">
        <is>
          <t>1. Abrir el cierre del caso F-121. 2. Verificar que el campo tipo de alta ofrece: alta terapéutica, alta médica, alta psicológica, abandono, derivación. 3. Seleccionar 'alta terapéutica'. 4. Registrar la fecha asociada 30-07-2026. 5. Guardar y reabrir el caso</t>
        </is>
      </c>
      <c r="J59" s="2" t="inlineStr">
        <is>
          <t>El sistema guarda el tipo de alta 'terapéutica' y la fecha asociada, visibles al reabrir el caso; el catálogo ofrece exactamente los 5 tipos válidos</t>
        </is>
      </c>
      <c r="K59" s="2" t="inlineStr"/>
      <c r="L59" s="2" t="inlineStr"/>
      <c r="M59" s="2" t="inlineStr">
        <is>
          <t>P0</t>
        </is>
      </c>
      <c r="N59" s="4" t="inlineStr">
        <is>
          <t>Major</t>
        </is>
      </c>
      <c r="O59" s="2" t="inlineStr"/>
      <c r="P59" s="2" t="inlineStr"/>
      <c r="Q59" s="2" t="inlineStr">
        <is>
          <t>S1</t>
        </is>
      </c>
    </row>
    <row r="60">
      <c r="A60" s="2" t="inlineStr">
        <is>
          <t>EPIC-01</t>
        </is>
      </c>
      <c r="B60" s="2" t="inlineStr">
        <is>
          <t>TC-CEPA-014-003</t>
        </is>
      </c>
      <c r="C60" s="2" t="inlineStr">
        <is>
          <t>Functional</t>
        </is>
      </c>
      <c r="D60" s="2" t="inlineStr">
        <is>
          <t>Flag de revisión</t>
        </is>
      </c>
      <c r="E60" s="2" t="inlineStr">
        <is>
          <t>Módulo de cierre y alta</t>
        </is>
      </c>
      <c r="F60" s="2" t="inlineStr">
        <is>
          <t>Verificar que el flag de revisión de caso y las observaciones generales de texto libre se persisten</t>
        </is>
      </c>
      <c r="G60" s="2" t="inlineStr">
        <is>
          <t>Web</t>
        </is>
      </c>
      <c r="H60" s="2" t="inlineStr">
        <is>
          <t>Usuario administrativo autenticado; caso F-121 que requiere seguimiento especial</t>
        </is>
      </c>
      <c r="I60" s="2" t="inlineStr">
        <is>
          <t>1. Abrir el caso F-121. 2. Activar el flag de revisión de caso. 3. Ingresar observaciones generales: 'Paciente requiere seguimiento por coordinación tras derivación a especialista'. 4. Guardar y reabrir el caso</t>
        </is>
      </c>
      <c r="J60" s="2" t="inlineStr">
        <is>
          <t>El flag de revisión queda activo y el texto libre de observaciones se persiste íntegro y visible al reabrir el caso</t>
        </is>
      </c>
      <c r="K60" s="2" t="inlineStr"/>
      <c r="L60" s="2" t="inlineStr"/>
      <c r="M60" s="2" t="inlineStr">
        <is>
          <t>P0</t>
        </is>
      </c>
      <c r="N60" s="4" t="inlineStr">
        <is>
          <t>Major</t>
        </is>
      </c>
      <c r="O60" s="2" t="inlineStr"/>
      <c r="P60" s="2" t="inlineStr"/>
      <c r="Q60" s="2" t="inlineStr">
        <is>
          <t>S1</t>
        </is>
      </c>
    </row>
    <row r="61">
      <c r="A61" s="2" t="inlineStr">
        <is>
          <t>EPIC-01</t>
        </is>
      </c>
      <c r="B61" s="2" t="inlineStr">
        <is>
          <t>TC-CEPA-014-004</t>
        </is>
      </c>
      <c r="C61" s="2" t="inlineStr">
        <is>
          <t>Functional</t>
        </is>
      </c>
      <c r="D61" s="2" t="inlineStr">
        <is>
          <t>Fecha de alta única</t>
        </is>
      </c>
      <c r="E61" s="2" t="inlineStr">
        <is>
          <t>Módulo de cierre y alta</t>
        </is>
      </c>
      <c r="F61" s="2" t="inlineStr">
        <is>
          <t>Verificar que al cerrar el caso se registra la fecha de la última atención como fecha de alta única (v4 D11)</t>
        </is>
      </c>
      <c r="G61" s="2" t="inlineStr">
        <is>
          <t>Web</t>
        </is>
      </c>
      <c r="H61" s="2" t="inlineStr">
        <is>
          <t>Usuario administrativo autenticado; caso F-121 con última atención registrada el 28-07-2026</t>
        </is>
      </c>
      <c r="I61" s="2" t="inlineStr">
        <is>
          <t>1. Abrir el cierre del caso F-121. 2. Ejecutar el cierre del caso con tipo de alta 'médica'. 3. Revisar la fecha de alta registrada en el caso</t>
        </is>
      </c>
      <c r="J61" s="2" t="inlineStr">
        <is>
          <t>El sistema registra como fecha de alta única la fecha de la última atención (28-07-2026), independiente del tipo de alta (v4 D11)</t>
        </is>
      </c>
      <c r="K61" s="2" t="inlineStr"/>
      <c r="L61" s="2" t="inlineStr"/>
      <c r="M61" s="2" t="inlineStr">
        <is>
          <t>P0</t>
        </is>
      </c>
      <c r="N61" s="5" t="inlineStr">
        <is>
          <t>Medium</t>
        </is>
      </c>
      <c r="O61" s="2" t="inlineStr"/>
      <c r="P61" s="2" t="inlineStr"/>
      <c r="Q61" s="2" t="inlineStr">
        <is>
          <t>S1</t>
        </is>
      </c>
    </row>
    <row r="62">
      <c r="A62" s="2" t="inlineStr">
        <is>
          <t>EPIC-01</t>
        </is>
      </c>
      <c r="B62" s="2" t="inlineStr">
        <is>
          <t>TC-CEPA-014-005</t>
        </is>
      </c>
      <c r="C62" s="2" t="inlineStr">
        <is>
          <t>Business Rules</t>
        </is>
      </c>
      <c r="D62" s="2" t="inlineStr">
        <is>
          <t>Catálogo cerrado</t>
        </is>
      </c>
      <c r="E62" s="2" t="inlineStr">
        <is>
          <t>Módulo de cierre y alta</t>
        </is>
      </c>
      <c r="F62" s="2" t="inlineStr">
        <is>
          <t>Verificar que el sistema rechaza un tipo de alta fuera del catálogo válido</t>
        </is>
      </c>
      <c r="G62" s="2" t="inlineStr">
        <is>
          <t>API</t>
        </is>
      </c>
      <c r="H62" s="2" t="inlineStr">
        <is>
          <t>Token JWT de usuario administrativo válido; caso F-121 listo para cierre</t>
        </is>
      </c>
      <c r="I62" s="2" t="inlineStr">
        <is>
          <t>1. Construir una petición de cierre del caso F-121 con tipo_alta = 'otro'. 2. Enviar la petición a la API. 3. Repetir con tipo_alta = 'alta administrativa'. 4. Consultar el estado del caso</t>
        </is>
      </c>
      <c r="J62" s="2" t="inlineStr">
        <is>
          <t>La API rechaza ambas peticiones con error de validación por valor fuera de catálogo (solo terapéutica, médica, psicológica, abandono, derivación); el caso permanece sin cerrar</t>
        </is>
      </c>
      <c r="K62" s="2" t="inlineStr"/>
      <c r="L62" s="2" t="inlineStr"/>
      <c r="M62" s="2" t="inlineStr">
        <is>
          <t>P0</t>
        </is>
      </c>
      <c r="N62" s="4" t="inlineStr">
        <is>
          <t>Major</t>
        </is>
      </c>
      <c r="O62" s="2" t="inlineStr"/>
      <c r="P62" s="2" t="inlineStr"/>
      <c r="Q62" s="2" t="inlineStr">
        <is>
          <t>BR-2</t>
        </is>
      </c>
    </row>
    <row r="63">
      <c r="A63" s="2" t="inlineStr">
        <is>
          <t>EPIC-01</t>
        </is>
      </c>
      <c r="B63" s="2" t="inlineStr">
        <is>
          <t>TC-CEPA-014-006</t>
        </is>
      </c>
      <c r="C63" s="2" t="inlineStr">
        <is>
          <t>Business Rules</t>
        </is>
      </c>
      <c r="D63" s="2" t="inlineStr">
        <is>
          <t>Auditoría</t>
        </is>
      </c>
      <c r="E63" s="2" t="inlineStr">
        <is>
          <t>Log de auditoría</t>
        </is>
      </c>
      <c r="F63" s="2" t="inlineStr">
        <is>
          <t>Verificar que todo cambio de estado o alta del caso queda registrado en el log de auditoría con autor y fecha</t>
        </is>
      </c>
      <c r="G63" s="2" t="inlineStr">
        <is>
          <t>Web/API</t>
        </is>
      </c>
      <c r="H63" s="2" t="inlineStr">
        <is>
          <t>Usuario administrativo 'admin01' autenticado; caso activo F-121; acceso al log de auditoría</t>
        </is>
      </c>
      <c r="I63" s="2" t="inlineStr">
        <is>
          <t>1. Como 'admin01', cambiar el estado del caso F-121 a 'cerrado' con alta terapéutica. 2. Reabrir o derivar otro caso de prueba. 3. Consultar el log de auditoría de ambos casos</t>
        </is>
      </c>
      <c r="J63" s="2" t="inlineStr">
        <is>
          <t>Cada cambio de estado y registro de alta tiene entrada en el log de auditoría con autor ('admin01'), fecha/hora y valores anterior/nuevo</t>
        </is>
      </c>
      <c r="K63" s="2" t="inlineStr"/>
      <c r="L63" s="2" t="inlineStr"/>
      <c r="M63" s="2" t="inlineStr">
        <is>
          <t>P0</t>
        </is>
      </c>
      <c r="N63" s="4" t="inlineStr">
        <is>
          <t>Major</t>
        </is>
      </c>
      <c r="O63" s="2" t="inlineStr"/>
      <c r="P63" s="2" t="inlineStr"/>
      <c r="Q63" s="2" t="inlineStr">
        <is>
          <t>BR-5</t>
        </is>
      </c>
    </row>
    <row r="64">
      <c r="A64" s="2" t="inlineStr">
        <is>
          <t>EPIC-01</t>
        </is>
      </c>
      <c r="B64" s="2" t="inlineStr">
        <is>
          <t>TC-CEPA-014-007</t>
        </is>
      </c>
      <c r="C64" s="2" t="inlineStr">
        <is>
          <t>Functional</t>
        </is>
      </c>
      <c r="D64" s="2" t="inlineStr">
        <is>
          <t>Cierre con flag activo</t>
        </is>
      </c>
      <c r="E64" s="2" t="inlineStr">
        <is>
          <t>Módulo de cierre y alta</t>
        </is>
      </c>
      <c r="F64" s="2" t="inlineStr">
        <is>
          <t>Verificar que un caso con flag de revisión activo puede cerrarse conservando el flag</t>
        </is>
      </c>
      <c r="G64" s="2" t="inlineStr">
        <is>
          <t>Web</t>
        </is>
      </c>
      <c r="H64" s="2" t="inlineStr">
        <is>
          <t>Usuario administrativo autenticado; caso F-121 con flag de revisión activado</t>
        </is>
      </c>
      <c r="I64" s="2" t="inlineStr">
        <is>
          <t>1. Abrir el caso F-121 con flag de revisión activo. 2. Ejecutar el cierre con tipo de alta 'psicológica'. 3. Guardar. 4. Reabrir el caso cerrado y revisar el flag de revisión</t>
        </is>
      </c>
      <c r="J64" s="2" t="inlineStr">
        <is>
          <t>El caso queda cerrado y el flag de revisión permanece activo y visible tras el cierre</t>
        </is>
      </c>
      <c r="K64" s="2" t="inlineStr"/>
      <c r="L64" s="2" t="inlineStr"/>
      <c r="M64" s="2" t="inlineStr">
        <is>
          <t>P0</t>
        </is>
      </c>
      <c r="N64" s="5" t="inlineStr">
        <is>
          <t>Medium</t>
        </is>
      </c>
      <c r="O64" s="2" t="inlineStr"/>
      <c r="P64" s="2" t="inlineStr"/>
      <c r="Q64" s="2" t="inlineStr">
        <is>
          <t>TC-legacy</t>
        </is>
      </c>
    </row>
    <row r="65">
      <c r="A65" s="2" t="inlineStr">
        <is>
          <t>EPIC-01</t>
        </is>
      </c>
      <c r="B65" s="2" t="inlineStr">
        <is>
          <t>TC-CEPA-014-008</t>
        </is>
      </c>
      <c r="C65" s="2" t="inlineStr">
        <is>
          <t>Security</t>
        </is>
      </c>
      <c r="D65" s="2" t="inlineStr">
        <is>
          <t>RBAC</t>
        </is>
      </c>
      <c r="E65" s="2" t="inlineStr">
        <is>
          <t>Control de acceso de cierre</t>
        </is>
      </c>
      <c r="F65" s="2" t="inlineStr">
        <is>
          <t>Verificar que el perfil Auditor no puede cerrar ni dar de alta un caso</t>
        </is>
      </c>
      <c r="G65" s="2" t="inlineStr">
        <is>
          <t>Web/API</t>
        </is>
      </c>
      <c r="H65" s="2" t="inlineStr">
        <is>
          <t>Usuario con perfil Auditor autenticado; caso activo F-121</t>
        </is>
      </c>
      <c r="I65" s="2" t="inlineStr">
        <is>
          <t>1. Abrir el caso F-121 como Auditor. 2. Intentar cambiar el estado o registrar un alta desde la UI. 3. Enviar por API una petición de cierre con el token del Auditor</t>
        </is>
      </c>
      <c r="J65" s="2" t="inlineStr">
        <is>
          <t>Las acciones de cierre/alta no están disponibles para el Auditor y la API responde HTTP 403; el caso permanece activo</t>
        </is>
      </c>
      <c r="K65" s="2" t="inlineStr"/>
      <c r="L65" s="2" t="inlineStr"/>
      <c r="M65" s="2" t="inlineStr">
        <is>
          <t>P0</t>
        </is>
      </c>
      <c r="N65" s="3" t="inlineStr">
        <is>
          <t>Critical</t>
        </is>
      </c>
      <c r="O65" s="2" t="inlineStr"/>
      <c r="P65" s="2" t="inlineStr"/>
      <c r="Q65" s="2" t="inlineStr">
        <is>
          <t>TC-legacy</t>
        </is>
      </c>
    </row>
    <row r="66">
      <c r="A66" s="2" t="inlineStr">
        <is>
          <t>EPIC-01</t>
        </is>
      </c>
      <c r="B66" s="2" t="inlineStr">
        <is>
          <t>TC-CEPA-015-001</t>
        </is>
      </c>
      <c r="C66" s="2" t="inlineStr">
        <is>
          <t>Functional</t>
        </is>
      </c>
      <c r="D66" s="2" t="inlineStr">
        <is>
          <t>Registro de ODA</t>
        </is>
      </c>
      <c r="E66" s="2" t="inlineStr">
        <is>
          <t>Registro de ODAS</t>
        </is>
      </c>
      <c r="F66" s="2" t="inlineStr">
        <is>
          <t>Verificar que una ODA registrada con su fecha de vencimiento queda guardada y vinculada al folio del paciente</t>
        </is>
      </c>
      <c r="G66" s="2" t="inlineStr">
        <is>
          <t>Web</t>
        </is>
      </c>
      <c r="H66" s="2" t="inlineStr">
        <is>
          <t>Usuario administrativo autenticado; ingreso existente con folio F-121</t>
        </is>
      </c>
      <c r="I66" s="2" t="inlineStr">
        <is>
          <t>1. Abrir el módulo de ODAS del ingreso F-121. 2. Registrar una ODA con identificador ODA-2026-0345 y fecha de vencimiento a 20 días (22-07-2026). 3. Guardar. 4. Consultar las ODAS del folio F-121</t>
        </is>
      </c>
      <c r="J66" s="2" t="inlineStr">
        <is>
          <t>La ODA queda guardada con su identificador y fecha de vencimiento, vinculada al folio F-121 y visible en la consulta</t>
        </is>
      </c>
      <c r="K66" s="2" t="inlineStr"/>
      <c r="L66" s="2" t="inlineStr"/>
      <c r="M66" s="2" t="inlineStr">
        <is>
          <t>P0</t>
        </is>
      </c>
      <c r="N66" s="4" t="inlineStr">
        <is>
          <t>Major</t>
        </is>
      </c>
      <c r="O66" s="2" t="inlineStr"/>
      <c r="P66" s="2" t="inlineStr"/>
      <c r="Q66" s="2" t="inlineStr">
        <is>
          <t>S1</t>
        </is>
      </c>
    </row>
    <row r="67">
      <c r="A67" s="2" t="inlineStr">
        <is>
          <t>EPIC-01</t>
        </is>
      </c>
      <c r="B67" s="2" t="inlineStr">
        <is>
          <t>TC-CEPA-015-002</t>
        </is>
      </c>
      <c r="C67" s="2" t="inlineStr">
        <is>
          <t>Functional</t>
        </is>
      </c>
      <c r="D67" s="2" t="inlineStr">
        <is>
          <t>Alerta por vencer</t>
        </is>
      </c>
      <c r="E67" s="2" t="inlineStr">
        <is>
          <t>Motor de alertas</t>
        </is>
      </c>
      <c r="F67" s="2" t="inlineStr">
        <is>
          <t>Verificar que una ODA con vencimiento próximo genera la alerta 'ODA por vencer' en el panel del administrativo</t>
        </is>
      </c>
      <c r="G67" s="2" t="inlineStr">
        <is>
          <t>Web</t>
        </is>
      </c>
      <c r="H67" s="2" t="inlineStr">
        <is>
          <t>Usuario administrativo autenticado; ODA registrada en F-121 que vence en 3 días (dentro de la ventana de alerta definida)</t>
        </is>
      </c>
      <c r="I67" s="2" t="inlineStr">
        <is>
          <t>1. Ejecutar (o esperar) el proceso de alertas del sistema. 2. Iniciar sesión como administrativo. 3. Abrir el panel de alertas</t>
        </is>
      </c>
      <c r="J67" s="2" t="inlineStr">
        <is>
          <t>El panel del administrativo muestra una alerta visible de 'ODA por vencer' identificando el folio y la fecha de vencimiento de la ODA</t>
        </is>
      </c>
      <c r="K67" s="2" t="inlineStr"/>
      <c r="L67" s="2" t="inlineStr"/>
      <c r="M67" s="2" t="inlineStr">
        <is>
          <t>P0</t>
        </is>
      </c>
      <c r="N67" s="4" t="inlineStr">
        <is>
          <t>Major</t>
        </is>
      </c>
      <c r="O67" s="2" t="inlineStr"/>
      <c r="P67" s="2" t="inlineStr"/>
      <c r="Q67" s="2" t="inlineStr">
        <is>
          <t>S1</t>
        </is>
      </c>
    </row>
    <row r="68">
      <c r="A68" s="2" t="inlineStr">
        <is>
          <t>EPIC-01</t>
        </is>
      </c>
      <c r="B68" s="2" t="inlineStr">
        <is>
          <t>TC-CEPA-015-003</t>
        </is>
      </c>
      <c r="C68" s="2" t="inlineStr">
        <is>
          <t>Functional</t>
        </is>
      </c>
      <c r="D68" s="2" t="inlineStr">
        <is>
          <t>Historial de ODAS</t>
        </is>
      </c>
      <c r="E68" s="2" t="inlineStr">
        <is>
          <t>Registro de ODAS</t>
        </is>
      </c>
      <c r="F68" s="2" t="inlineStr">
        <is>
          <t>Verificar que al registrar una ODA actualizada se conserva el historial y se refleja la ODA vigente</t>
        </is>
      </c>
      <c r="G68" s="2" t="inlineStr">
        <is>
          <t>Web</t>
        </is>
      </c>
      <c r="H68" s="2" t="inlineStr">
        <is>
          <t>Usuario administrativo autenticado; ODA ODA-2026-0345 vigente registrada en el folio F-121</t>
        </is>
      </c>
      <c r="I68" s="2" t="inlineStr">
        <is>
          <t>1. Abrir el módulo de ODAS del ingreso F-121. 2. Registrar una ODA actualizada ODA-2026-0512 con nueva fecha de vencimiento. 3. Guardar. 4. Consultar la ODA vigente del folio. 5. Consultar el historial de ODAS del folio</t>
        </is>
      </c>
      <c r="J68" s="2" t="inlineStr">
        <is>
          <t>La ODA vigente es la nueva (ODA-2026-0512) y la anterior (ODA-2026-0345) se conserva en el historial sin eliminarse (trazabilidad)</t>
        </is>
      </c>
      <c r="K68" s="2" t="inlineStr"/>
      <c r="L68" s="2" t="inlineStr"/>
      <c r="M68" s="2" t="inlineStr">
        <is>
          <t>P0</t>
        </is>
      </c>
      <c r="N68" s="4" t="inlineStr">
        <is>
          <t>Major</t>
        </is>
      </c>
      <c r="O68" s="2" t="inlineStr"/>
      <c r="P68" s="2" t="inlineStr"/>
      <c r="Q68" s="2" t="inlineStr">
        <is>
          <t>S1</t>
        </is>
      </c>
    </row>
    <row r="69">
      <c r="A69" s="2" t="inlineStr">
        <is>
          <t>EPIC-01</t>
        </is>
      </c>
      <c r="B69" s="2" t="inlineStr">
        <is>
          <t>TC-CEPA-015-004</t>
        </is>
      </c>
      <c r="C69" s="2" t="inlineStr">
        <is>
          <t>Business Rules</t>
        </is>
      </c>
      <c r="D69" s="2" t="inlineStr">
        <is>
          <t>Campos obligatorios de ODA</t>
        </is>
      </c>
      <c r="E69" s="2" t="inlineStr">
        <is>
          <t>Registro de ODAS</t>
        </is>
      </c>
      <c r="F69" s="2" t="inlineStr">
        <is>
          <t>Verificar que el sistema rechaza el registro de una ODA sin fecha de vencimiento (campo obligatorio)</t>
        </is>
      </c>
      <c r="G69" s="2" t="inlineStr">
        <is>
          <t>Web</t>
        </is>
      </c>
      <c r="H69" s="2" t="inlineStr">
        <is>
          <t>Usuario administrativo autenticado; ingreso F-121 abierto en el módulo de ODAS</t>
        </is>
      </c>
      <c r="I69" s="2" t="inlineStr">
        <is>
          <t>1. Registrar una ODA con identificador ODA-2026-0600 dejando vacía la fecha de vencimiento. 2. Hacer clic en 'Guardar'. 3. Repetir dejando vacío el identificador de la ODA</t>
        </is>
      </c>
      <c r="J69" s="2" t="inlineStr">
        <is>
          <t>El sistema bloquea el guardado en ambos casos indicando el campo obligatorio faltante (identificador y fecha de vencimiento son mínimos requeridos)</t>
        </is>
      </c>
      <c r="K69" s="2" t="inlineStr"/>
      <c r="L69" s="2" t="inlineStr"/>
      <c r="M69" s="2" t="inlineStr">
        <is>
          <t>P0</t>
        </is>
      </c>
      <c r="N69" s="4" t="inlineStr">
        <is>
          <t>Major</t>
        </is>
      </c>
      <c r="O69" s="2" t="inlineStr"/>
      <c r="P69" s="2" t="inlineStr"/>
      <c r="Q69" s="2" t="inlineStr">
        <is>
          <t>BR-2</t>
        </is>
      </c>
    </row>
    <row r="70">
      <c r="A70" s="2" t="inlineStr">
        <is>
          <t>EPIC-01</t>
        </is>
      </c>
      <c r="B70" s="2" t="inlineStr">
        <is>
          <t>TC-CEPA-015-005</t>
        </is>
      </c>
      <c r="C70" s="2" t="inlineStr">
        <is>
          <t>Business Rules</t>
        </is>
      </c>
      <c r="D70" s="2" t="inlineStr">
        <is>
          <t>Alcance del módulo</t>
        </is>
      </c>
      <c r="E70" s="2" t="inlineStr">
        <is>
          <t>Registro de ODAS</t>
        </is>
      </c>
      <c r="F70" s="2" t="inlineStr">
        <is>
          <t>Verificar que el módulo de ODAS de esta historia se limita al registro y alerta de vencimiento, sin incluir el reporte de ODAS vencidas (alcance de EPIC-09)</t>
        </is>
      </c>
      <c r="G70" s="2" t="inlineStr">
        <is>
          <t>Web</t>
        </is>
      </c>
      <c r="H70" s="2" t="inlineStr">
        <is>
          <t>Usuario administrativo autenticado; ODAS registradas incluyendo al menos una vencida</t>
        </is>
      </c>
      <c r="I70" s="2" t="inlineStr">
        <is>
          <t>1. Recorrer el módulo de ODAS y el panel de alertas. 2. Verificar que la funcionalidad entregada cubre registro, historial y alerta de vencimiento próximo. 3. Verificar que la alerta de ODA vencida no se confunde con un reporte consolidado de vencidas</t>
        </is>
      </c>
      <c r="J70" s="2" t="inlineStr">
        <is>
          <t>El módulo cubre registro y alertas in-app de ODAS por vencer; el reporte consolidado de ODAS vencidas no forma parte de esta historia (queda para EPIC-09) y su ausencia no genera errores</t>
        </is>
      </c>
      <c r="K70" s="2" t="inlineStr"/>
      <c r="L70" s="2" t="inlineStr"/>
      <c r="M70" s="2" t="inlineStr">
        <is>
          <t>P0</t>
        </is>
      </c>
      <c r="N70" s="6" t="inlineStr">
        <is>
          <t>Low</t>
        </is>
      </c>
      <c r="O70" s="2" t="inlineStr"/>
      <c r="P70" s="2" t="inlineStr"/>
      <c r="Q70" s="2" t="inlineStr">
        <is>
          <t>BR-4</t>
        </is>
      </c>
    </row>
    <row r="71">
      <c r="A71" s="2" t="inlineStr">
        <is>
          <t>EPIC-01</t>
        </is>
      </c>
      <c r="B71" s="2" t="inlineStr">
        <is>
          <t>TC-CEPA-015-006</t>
        </is>
      </c>
      <c r="C71" s="2" t="inlineStr">
        <is>
          <t>Functional</t>
        </is>
      </c>
      <c r="D71" s="2" t="inlineStr">
        <is>
          <t>Límite de vigencia</t>
        </is>
      </c>
      <c r="E71" s="2" t="inlineStr">
        <is>
          <t>Motor de alertas</t>
        </is>
      </c>
      <c r="F71" s="2" t="inlineStr">
        <is>
          <t>Verificar que una ODA que vence el mismo día genera la alerta en el límite de vigencia</t>
        </is>
      </c>
      <c r="G71" s="2" t="inlineStr">
        <is>
          <t>Web</t>
        </is>
      </c>
      <c r="H71" s="2" t="inlineStr">
        <is>
          <t>Usuario administrativo autenticado; ODA registrada en F-121 con fecha de vencimiento igual a la fecha actual</t>
        </is>
      </c>
      <c r="I71" s="2" t="inlineStr">
        <is>
          <t>1. Registrar una ODA con vencimiento = fecha de hoy. 2. Ejecutar el proceso de alertas. 3. Abrir el panel de alertas del administrativo</t>
        </is>
      </c>
      <c r="J71" s="2" t="inlineStr">
        <is>
          <t>La alerta 'ODA por vencer' se genera correctamente en el caso límite en que el vencimiento coincide con la fecha actual</t>
        </is>
      </c>
      <c r="K71" s="2" t="inlineStr"/>
      <c r="L71" s="2" t="inlineStr"/>
      <c r="M71" s="2" t="inlineStr">
        <is>
          <t>P0</t>
        </is>
      </c>
      <c r="N71" s="5" t="inlineStr">
        <is>
          <t>Medium</t>
        </is>
      </c>
      <c r="O71" s="2" t="inlineStr"/>
      <c r="P71" s="2" t="inlineStr"/>
      <c r="Q71" s="2" t="inlineStr">
        <is>
          <t>TC-legacy</t>
        </is>
      </c>
    </row>
    <row r="72">
      <c r="A72" s="2" t="inlineStr">
        <is>
          <t>EPIC-01</t>
        </is>
      </c>
      <c r="B72" s="2" t="inlineStr">
        <is>
          <t>TC-CEPA-015-007</t>
        </is>
      </c>
      <c r="C72" s="2" t="inlineStr">
        <is>
          <t>Security</t>
        </is>
      </c>
      <c r="D72" s="2" t="inlineStr">
        <is>
          <t>RBAC</t>
        </is>
      </c>
      <c r="E72" s="2" t="inlineStr">
        <is>
          <t>Control de acceso de ODAS</t>
        </is>
      </c>
      <c r="F72" s="2" t="inlineStr">
        <is>
          <t>Verificar que el perfil Auditor no puede registrar ni editar ODAS</t>
        </is>
      </c>
      <c r="G72" s="2" t="inlineStr">
        <is>
          <t>Web/API</t>
        </is>
      </c>
      <c r="H72" s="2" t="inlineStr">
        <is>
          <t>Usuario con perfil Auditor autenticado; ODAS registradas en el folio F-121</t>
        </is>
      </c>
      <c r="I72" s="2" t="inlineStr">
        <is>
          <t>1. Abrir el módulo de ODAS del folio F-121 como Auditor. 2. Intentar registrar una nueva ODA. 3. Intentar editar una ODA existente. 4. Enviar por API un POST/PUT de ODA con el token del Auditor</t>
        </is>
      </c>
      <c r="J72" s="2" t="inlineStr">
        <is>
          <t>Las acciones de registro y edición no están disponibles para el Auditor y la API responde HTTP 403; los datos de ODAS no se modifican</t>
        </is>
      </c>
      <c r="K72" s="2" t="inlineStr"/>
      <c r="L72" s="2" t="inlineStr"/>
      <c r="M72" s="2" t="inlineStr">
        <is>
          <t>P0</t>
        </is>
      </c>
      <c r="N72" s="3" t="inlineStr">
        <is>
          <t>Critical</t>
        </is>
      </c>
      <c r="O72" s="2" t="inlineStr"/>
      <c r="P72" s="2" t="inlineStr"/>
      <c r="Q72" s="2" t="inlineStr">
        <is>
          <t>TC-legacy</t>
        </is>
      </c>
    </row>
    <row r="73">
      <c r="A73" s="2" t="inlineStr">
        <is>
          <t>EPIC-01</t>
        </is>
      </c>
      <c r="B73" s="2" t="inlineStr">
        <is>
          <t>TC-CEPA-016-001</t>
        </is>
      </c>
      <c r="C73" s="2" t="inlineStr">
        <is>
          <t>Functional</t>
        </is>
      </c>
      <c r="D73" s="2" t="inlineStr">
        <is>
          <t>Bloqueo por consentimiento</t>
        </is>
      </c>
      <c r="E73" s="2" t="inlineStr">
        <is>
          <t>Validador de consentimiento</t>
        </is>
      </c>
      <c r="F73" s="2" t="inlineStr">
        <is>
          <t>Verificar que el sistema bloquea el inicio de tratamiento cuando el ingreso no tiene consentimiento informado firmado</t>
        </is>
      </c>
      <c r="G73" s="2" t="inlineStr">
        <is>
          <t>Web</t>
        </is>
      </c>
      <c r="H73" s="2" t="inlineStr">
        <is>
          <t>Usuario administrativo autenticado; ingreso F-121 con consentimiento en estado 'pendiente'</t>
        </is>
      </c>
      <c r="I73" s="2" t="inlineStr">
        <is>
          <t>1. Abrir el ingreso F-121. 2. Intentar registrar el inicio de tratamiento. 3. Revisar el mensaje mostrado y el estado del caso</t>
        </is>
      </c>
      <c r="J73" s="2" t="inlineStr">
        <is>
          <t>El sistema bloquea el inicio del tratamiento e indica que el consentimiento informado firmado es obligatorio (v4 D9); el caso no avanza de etapa</t>
        </is>
      </c>
      <c r="K73" s="2" t="inlineStr"/>
      <c r="L73" s="2" t="inlineStr"/>
      <c r="M73" s="2" t="inlineStr">
        <is>
          <t>P0</t>
        </is>
      </c>
      <c r="N73" s="3" t="inlineStr">
        <is>
          <t>Critical</t>
        </is>
      </c>
      <c r="O73" s="2" t="inlineStr"/>
      <c r="P73" s="2" t="inlineStr"/>
      <c r="Q73" s="2" t="inlineStr">
        <is>
          <t>S3</t>
        </is>
      </c>
    </row>
    <row r="74">
      <c r="A74" s="2" t="inlineStr">
        <is>
          <t>EPIC-01</t>
        </is>
      </c>
      <c r="B74" s="2" t="inlineStr">
        <is>
          <t>TC-CEPA-016-002</t>
        </is>
      </c>
      <c r="C74" s="2" t="inlineStr">
        <is>
          <t>Functional</t>
        </is>
      </c>
      <c r="D74" s="2" t="inlineStr">
        <is>
          <t>Consentimiento cumplido</t>
        </is>
      </c>
      <c r="E74" s="2" t="inlineStr">
        <is>
          <t>Validador de consentimiento</t>
        </is>
      </c>
      <c r="F74" s="2" t="inlineStr">
        <is>
          <t>Verificar que con consentimiento firmado registrado el validador marca cumplido y permite iniciar el tratamiento</t>
        </is>
      </c>
      <c r="G74" s="2" t="inlineStr">
        <is>
          <t>Web</t>
        </is>
      </c>
      <c r="H74" s="2" t="inlineStr">
        <is>
          <t>Usuario administrativo autenticado; ingreso F-121 con consentimiento registrado como 'firmado'</t>
        </is>
      </c>
      <c r="I74" s="2" t="inlineStr">
        <is>
          <t>1. Abrir el ingreso F-121. 2. Revisar el estado del validador de consentimiento. 3. Registrar el inicio de tratamiento</t>
        </is>
      </c>
      <c r="J74" s="2" t="inlineStr">
        <is>
          <t>El validador marca el consentimiento como cumplido/firmado y el sistema permite continuar con el inicio del tratamiento</t>
        </is>
      </c>
      <c r="K74" s="2" t="inlineStr"/>
      <c r="L74" s="2" t="inlineStr"/>
      <c r="M74" s="2" t="inlineStr">
        <is>
          <t>P0</t>
        </is>
      </c>
      <c r="N74" s="3" t="inlineStr">
        <is>
          <t>Critical</t>
        </is>
      </c>
      <c r="O74" s="2" t="inlineStr"/>
      <c r="P74" s="2" t="inlineStr"/>
      <c r="Q74" s="2" t="inlineStr">
        <is>
          <t>S1</t>
        </is>
      </c>
    </row>
    <row r="75">
      <c r="A75" s="2" t="inlineStr">
        <is>
          <t>EPIC-01</t>
        </is>
      </c>
      <c r="B75" s="2" t="inlineStr">
        <is>
          <t>TC-CEPA-016-003</t>
        </is>
      </c>
      <c r="C75" s="2" t="inlineStr">
        <is>
          <t>Functional</t>
        </is>
      </c>
      <c r="D75" s="2" t="inlineStr">
        <is>
          <t>Alerta de protocolo</t>
        </is>
      </c>
      <c r="E75" s="2" t="inlineStr">
        <is>
          <t>Motor de alertas</t>
        </is>
      </c>
      <c r="F75" s="2" t="inlineStr">
        <is>
          <t>Verificar que un ingreso con consentimiento pendiente genera la alerta 'consentimiento informado pendiente'</t>
        </is>
      </c>
      <c r="G75" s="2" t="inlineStr">
        <is>
          <t>Web</t>
        </is>
      </c>
      <c r="H75" s="2" t="inlineStr">
        <is>
          <t>Usuario administrativo autenticado; ingreso F-121 con consentimiento en estado 'pendiente'</t>
        </is>
      </c>
      <c r="I75" s="2" t="inlineStr">
        <is>
          <t>1. Ejecutar (o esperar) el proceso de alertas de protocolo del sistema. 2. Iniciar sesión como administrativo. 3. Abrir el panel de alertas</t>
        </is>
      </c>
      <c r="J75" s="2" t="inlineStr">
        <is>
          <t>Se genera y muestra una alerta de 'consentimiento informado pendiente' asociada al ingreso F-121 (cumplimiento de protocolo, PRD §7.11)</t>
        </is>
      </c>
      <c r="K75" s="2" t="inlineStr"/>
      <c r="L75" s="2" t="inlineStr"/>
      <c r="M75" s="2" t="inlineStr">
        <is>
          <t>P0</t>
        </is>
      </c>
      <c r="N75" s="4" t="inlineStr">
        <is>
          <t>Major</t>
        </is>
      </c>
      <c r="O75" s="2" t="inlineStr"/>
      <c r="P75" s="2" t="inlineStr"/>
      <c r="Q75" s="2" t="inlineStr">
        <is>
          <t>S1</t>
        </is>
      </c>
    </row>
    <row r="76">
      <c r="A76" s="2" t="inlineStr">
        <is>
          <t>EPIC-01</t>
        </is>
      </c>
      <c r="B76" s="2" t="inlineStr">
        <is>
          <t>TC-CEPA-016-004</t>
        </is>
      </c>
      <c r="C76" s="2" t="inlineStr">
        <is>
          <t>Functional</t>
        </is>
      </c>
      <c r="D76" s="2" t="inlineStr">
        <is>
          <t>Registro de evidencia</t>
        </is>
      </c>
      <c r="E76" s="2" t="inlineStr">
        <is>
          <t>Validador de consentimiento</t>
        </is>
      </c>
      <c r="F76" s="2" t="inlineStr">
        <is>
          <t>Verificar que al registrar el estado del consentimiento el sistema permite indicar o adjuntar la evidencia según el mecanismo definido</t>
        </is>
      </c>
      <c r="G76" s="2" t="inlineStr">
        <is>
          <t>Web</t>
        </is>
      </c>
      <c r="H76" s="2" t="inlineStr">
        <is>
          <t>Usuario administrativo autenticado; ingreso F-121 abierto en el formulario de consentimiento; mecanismo de evidencia definido (carga de archivo o referencia a ficha clínica, nota D9)</t>
        </is>
      </c>
      <c r="I76" s="2" t="inlineStr">
        <is>
          <t>1. Abrir el formulario de consentimiento del ingreso F-121. 2. Registrar el estado 'firmado'. 3. Indicar/adjuntar la evidencia según el mecanismo definido (subir archivo PDF de consentimiento o referenciar el documento de la ficha clínica). 4. Guardar y reabrir el registro</t>
        </is>
      </c>
      <c r="J76" s="2" t="inlineStr">
        <is>
          <t>El sistema acepta el registro del estado con su evidencia asociada según el mecanismo definido y ambos quedan persistidos y consultables</t>
        </is>
      </c>
      <c r="K76" s="2" t="inlineStr"/>
      <c r="L76" s="2" t="inlineStr"/>
      <c r="M76" s="2" t="inlineStr">
        <is>
          <t>P0</t>
        </is>
      </c>
      <c r="N76" s="5" t="inlineStr">
        <is>
          <t>Medium</t>
        </is>
      </c>
      <c r="O76" s="2" t="inlineStr"/>
      <c r="P76" s="2" t="inlineStr"/>
      <c r="Q76" s="2" t="inlineStr">
        <is>
          <t>S1</t>
        </is>
      </c>
    </row>
    <row r="77">
      <c r="A77" s="2" t="inlineStr">
        <is>
          <t>EPIC-01</t>
        </is>
      </c>
      <c r="B77" s="2" t="inlineStr">
        <is>
          <t>TC-CEPA-016-005</t>
        </is>
      </c>
      <c r="C77" s="2" t="inlineStr">
        <is>
          <t>Business Rules</t>
        </is>
      </c>
      <c r="D77" s="2" t="inlineStr">
        <is>
          <t>Auditoría</t>
        </is>
      </c>
      <c r="E77" s="2" t="inlineStr">
        <is>
          <t>Log de auditoría</t>
        </is>
      </c>
      <c r="F77" s="2" t="inlineStr">
        <is>
          <t>Verificar que el estado del consentimiento y su evidencia quedan registrados en el log de auditoría</t>
        </is>
      </c>
      <c r="G77" s="2" t="inlineStr">
        <is>
          <t>Web/API</t>
        </is>
      </c>
      <c r="H77" s="2" t="inlineStr">
        <is>
          <t>Usuario administrativo 'admin01' autenticado; ingreso F-121; acceso al log de auditoría</t>
        </is>
      </c>
      <c r="I77" s="2" t="inlineStr">
        <is>
          <t>1. Como 'admin01', cambiar el estado del consentimiento del ingreso F-121 de 'pendiente' a 'firmado' con su evidencia. 2. Consultar el log de auditoría del caso F-121</t>
        </is>
      </c>
      <c r="J77" s="2" t="inlineStr">
        <is>
          <t>El cambio de estado del consentimiento y el registro de la evidencia aparecen en el log de auditoría con autor ('admin01'), fecha/hora y detalle de la operación</t>
        </is>
      </c>
      <c r="K77" s="2" t="inlineStr"/>
      <c r="L77" s="2" t="inlineStr"/>
      <c r="M77" s="2" t="inlineStr">
        <is>
          <t>P0</t>
        </is>
      </c>
      <c r="N77" s="4" t="inlineStr">
        <is>
          <t>Major</t>
        </is>
      </c>
      <c r="O77" s="2" t="inlineStr"/>
      <c r="P77" s="2" t="inlineStr"/>
      <c r="Q77" s="2" t="inlineStr">
        <is>
          <t>BR-5</t>
        </is>
      </c>
    </row>
    <row r="78">
      <c r="A78" s="2" t="inlineStr">
        <is>
          <t>EPIC-01</t>
        </is>
      </c>
      <c r="B78" s="2" t="inlineStr">
        <is>
          <t>TC-CEPA-016-006</t>
        </is>
      </c>
      <c r="C78" s="2" t="inlineStr">
        <is>
          <t>Functional</t>
        </is>
      </c>
      <c r="D78" s="2" t="inlineStr">
        <is>
          <t>Firmado sin evidencia</t>
        </is>
      </c>
      <c r="E78" s="2" t="inlineStr">
        <is>
          <t>Validador de consentimiento</t>
        </is>
      </c>
      <c r="F78" s="2" t="inlineStr">
        <is>
          <t>Verificar el comportamiento al marcar el consentimiento como firmado sin evidencia adjunta, según el mecanismo definido (nota abierta v4 D9)</t>
        </is>
      </c>
      <c r="G78" s="2" t="inlineStr">
        <is>
          <t>Web</t>
        </is>
      </c>
      <c r="H78" s="2" t="inlineStr">
        <is>
          <t>Usuario administrativo autenticado; ingreso F-121 abierto en el formulario de consentimiento; sin archivo/referencia de evidencia disponible</t>
        </is>
      </c>
      <c r="I78" s="2" t="inlineStr">
        <is>
          <t>1. Abrir el formulario de consentimiento del ingreso F-121. 2. Marcar el estado 'firmado' sin adjuntar archivo ni referencia. 3. Hacer clic en 'Guardar'. 4. Registrar el comportamiento del sistema</t>
        </is>
      </c>
      <c r="J78" s="2" t="inlineStr">
        <is>
          <t>El sistema se comporta según el mecanismo definido para la nota D9: si la evidencia es obligatoria, bloquea el guardado con mensaje claro; si es opcional, guarda dejando trazabilidad de que no hay evidencia adjunta (validar contra la definición vigente)</t>
        </is>
      </c>
      <c r="K78" s="2" t="inlineStr"/>
      <c r="L78" s="2" t="inlineStr"/>
      <c r="M78" s="2" t="inlineStr">
        <is>
          <t>P0</t>
        </is>
      </c>
      <c r="N78" s="5" t="inlineStr">
        <is>
          <t>Medium</t>
        </is>
      </c>
      <c r="O78" s="2" t="inlineStr"/>
      <c r="P78" s="2" t="inlineStr"/>
      <c r="Q78" s="2" t="inlineStr">
        <is>
          <t>TC-legacy</t>
        </is>
      </c>
    </row>
    <row r="79">
      <c r="A79" s="2" t="inlineStr">
        <is>
          <t>EPIC-01</t>
        </is>
      </c>
      <c r="B79" s="2" t="inlineStr">
        <is>
          <t>TC-CEPA-016-007</t>
        </is>
      </c>
      <c r="C79" s="2" t="inlineStr">
        <is>
          <t>Security</t>
        </is>
      </c>
      <c r="D79" s="2" t="inlineStr">
        <is>
          <t>RBAC</t>
        </is>
      </c>
      <c r="E79" s="2" t="inlineStr">
        <is>
          <t>Control de acceso de consentimiento</t>
        </is>
      </c>
      <c r="F79" s="2" t="inlineStr">
        <is>
          <t>Verificar que el perfil Auditor no puede cambiar el estado del consentimiento informado</t>
        </is>
      </c>
      <c r="G79" s="2" t="inlineStr">
        <is>
          <t>Web/API</t>
        </is>
      </c>
      <c r="H79" s="2" t="inlineStr">
        <is>
          <t>Usuario con perfil Auditor autenticado; ingreso F-121 con consentimiento 'pendiente'</t>
        </is>
      </c>
      <c r="I79" s="2" t="inlineStr">
        <is>
          <t>1. Abrir el ingreso F-121 como Auditor. 2. Intentar cambiar el estado del consentimiento desde la UI. 3. Enviar por API una actualización del estado de consentimiento con el token del Auditor</t>
        </is>
      </c>
      <c r="J79" s="2" t="inlineStr">
        <is>
          <t>La edición no está disponible para el Auditor (solo lectura) y la API responde HTTP 403; el estado del consentimiento no cambia</t>
        </is>
      </c>
      <c r="K79" s="2" t="inlineStr"/>
      <c r="L79" s="2" t="inlineStr"/>
      <c r="M79" s="2" t="inlineStr">
        <is>
          <t>P0</t>
        </is>
      </c>
      <c r="N79" s="3" t="inlineStr">
        <is>
          <t>Critical</t>
        </is>
      </c>
      <c r="O79" s="2" t="inlineStr"/>
      <c r="P79" s="2" t="inlineStr"/>
      <c r="Q79" s="2" t="inlineStr">
        <is>
          <t>TC-legacy</t>
        </is>
      </c>
    </row>
    <row r="80">
      <c r="A80" s="2" t="inlineStr">
        <is>
          <t>EPIC-02</t>
        </is>
      </c>
      <c r="B80" s="2" t="inlineStr">
        <is>
          <t>TC-CEPA-020-001</t>
        </is>
      </c>
      <c r="C80" s="2" t="inlineStr">
        <is>
          <t>Functional</t>
        </is>
      </c>
      <c r="D80" s="2" t="inlineStr">
        <is>
          <t>Herencia de datos del folio</t>
        </is>
      </c>
      <c r="E80" s="2" t="inlineStr">
        <is>
          <t>Formulario de registro farmacológico</t>
        </is>
      </c>
      <c r="F80" s="2" t="inlineStr">
        <is>
          <t>Verificar que al seleccionar un folio existente de Ingresos el sistema pre-llena los datos básicos heredados (mes, región de derivación, fecha de ingreso, nombre, RUT) y permite confirmarlos.</t>
        </is>
      </c>
      <c r="G80" s="2" t="inlineStr">
        <is>
          <t>Web</t>
        </is>
      </c>
      <c r="H80" s="2" t="inlineStr">
        <is>
          <t>Usuario administrativo autenticado; folio 12345 existe en el módulo de Ingresos con datos básicos completos (paciente María Pérez, RUT 12.345.678-5, región Maule, fecha ingreso 01/06/2026).</t>
        </is>
      </c>
      <c r="I80" s="2" t="inlineStr">
        <is>
          <t>1. Navegar al módulo Gestión de Fármacos. 2. Hacer clic en 'Nuevo registro farmacológico'. 3. Seleccionar el folio 12345 en el buscador de folios. 4. Revisar los campos mes, región de derivación, fecha de ingreso, nombre y RUT. 5. Hacer clic en 'Confirmar datos'.</t>
        </is>
      </c>
      <c r="J80" s="2" t="inlineStr">
        <is>
          <t>El sistema pre-llena automáticamente mes, región de derivación (Maule), fecha de ingreso (01/06/2026), nombre (María Pérez) y RUT (12.345.678-5) desde el folio, en modo solo confirmación (no re-digitación), y permite confirmarlos para continuar el registro.</t>
        </is>
      </c>
      <c r="K80" s="2" t="inlineStr"/>
      <c r="L80" s="2" t="inlineStr"/>
      <c r="M80" s="2" t="inlineStr">
        <is>
          <t>P0</t>
        </is>
      </c>
      <c r="N80" s="3" t="inlineStr">
        <is>
          <t>Critical</t>
        </is>
      </c>
      <c r="O80" s="2" t="inlineStr"/>
      <c r="P80" s="2" t="inlineStr"/>
      <c r="Q80" s="2" t="inlineStr">
        <is>
          <t>S1</t>
        </is>
      </c>
    </row>
    <row r="81">
      <c r="A81" s="2" t="inlineStr">
        <is>
          <t>EPIC-02</t>
        </is>
      </c>
      <c r="B81" s="2" t="inlineStr">
        <is>
          <t>TC-CEPA-020-002</t>
        </is>
      </c>
      <c r="C81" s="2" t="inlineStr">
        <is>
          <t>Functional</t>
        </is>
      </c>
      <c r="D81" s="2" t="inlineStr">
        <is>
          <t>Creación y vinculación al folio</t>
        </is>
      </c>
      <c r="E81" s="2" t="inlineStr">
        <is>
          <t>Formulario de registro farmacológico</t>
        </is>
      </c>
      <c r="F81" s="2" t="inlineStr">
        <is>
          <t>Verificar que al completar médico tratante y estado del caso y guardar, el registro farmacológico queda vinculado al folio y visible desde el módulo de Ingresos.</t>
        </is>
      </c>
      <c r="G81" s="2" t="inlineStr">
        <is>
          <t>Web</t>
        </is>
      </c>
      <c r="H81" s="2" t="inlineStr">
        <is>
          <t>Usuario administrativo autenticado; folio 12345 seleccionado y datos básicos confirmados en el formulario de nuevo registro farmacológico.</t>
        </is>
      </c>
      <c r="I81" s="2" t="inlineStr">
        <is>
          <t>1. Ingresar 'Dr. Juan Soto' en el campo médico tratante asignado. 2. Seleccionar el estado del caso farmacológico 'Activo'. 3. Hacer clic en 'Guardar'. 4. Navegar al módulo de Ingresos y abrir el detalle del folio 12345.</t>
        </is>
      </c>
      <c r="J81" s="2" t="inlineStr">
        <is>
          <t>El registro farmacológico se guarda vinculado al folio 12345; desde la vista del folio en el módulo de Ingresos el registro farmacológico es visible con médico tratante 'Dr. Juan Soto' y estado 'Activo'.</t>
        </is>
      </c>
      <c r="K81" s="2" t="inlineStr"/>
      <c r="L81" s="2" t="inlineStr"/>
      <c r="M81" s="2" t="inlineStr">
        <is>
          <t>P0</t>
        </is>
      </c>
      <c r="N81" s="3" t="inlineStr">
        <is>
          <t>Critical</t>
        </is>
      </c>
      <c r="O81" s="2" t="inlineStr"/>
      <c r="P81" s="2" t="inlineStr"/>
      <c r="Q81" s="2" t="inlineStr">
        <is>
          <t>S1</t>
        </is>
      </c>
    </row>
    <row r="82">
      <c r="A82" s="2" t="inlineStr">
        <is>
          <t>EPIC-02</t>
        </is>
      </c>
      <c r="B82" s="2" t="inlineStr">
        <is>
          <t>TC-CEPA-020-003</t>
        </is>
      </c>
      <c r="C82" s="2" t="inlineStr">
        <is>
          <t>Functional</t>
        </is>
      </c>
      <c r="D82" s="2" t="inlineStr">
        <is>
          <t>Validación campo obligatorio folio</t>
        </is>
      </c>
      <c r="E82" s="2" t="inlineStr">
        <is>
          <t>Formulario de registro farmacológico</t>
        </is>
      </c>
      <c r="F82" s="2" t="inlineStr">
        <is>
          <t>Verificar que al intentar guardar un registro farmacológico sin folio asociado el sistema muestra un error específico de campo obligatorio sin perder los datos ya ingresados.</t>
        </is>
      </c>
      <c r="G82" s="2" t="inlineStr">
        <is>
          <t>Web</t>
        </is>
      </c>
      <c r="H82" s="2" t="inlineStr">
        <is>
          <t>Usuario administrativo autenticado; formulario de nuevo registro farmacológico abierto sin folio seleccionado.</t>
        </is>
      </c>
      <c r="I82" s="2" t="inlineStr">
        <is>
          <t>1. Dejar vacío el campo folio. 2. Ingresar 'Dr. Juan Soto' como médico tratante. 3. Seleccionar estado del caso 'Activo'. 4. Hacer clic en 'Guardar'.</t>
        </is>
      </c>
      <c r="J82" s="2" t="inlineStr">
        <is>
          <t>El sistema muestra un mensaje de error específico indicando que el folio es obligatorio, no crea el registro (no se permiten registros huérfanos) y conserva en el formulario los datos ya ingresados (médico tratante y estado).</t>
        </is>
      </c>
      <c r="K82" s="2" t="inlineStr"/>
      <c r="L82" s="2" t="inlineStr"/>
      <c r="M82" s="2" t="inlineStr">
        <is>
          <t>P0</t>
        </is>
      </c>
      <c r="N82" s="4" t="inlineStr">
        <is>
          <t>Major</t>
        </is>
      </c>
      <c r="O82" s="2" t="inlineStr"/>
      <c r="P82" s="2" t="inlineStr"/>
      <c r="Q82" s="2" t="inlineStr">
        <is>
          <t>S4</t>
        </is>
      </c>
    </row>
    <row r="83">
      <c r="A83" s="2" t="inlineStr">
        <is>
          <t>EPIC-02</t>
        </is>
      </c>
      <c r="B83" s="2" t="inlineStr">
        <is>
          <t>TC-CEPA-020-004</t>
        </is>
      </c>
      <c r="C83" s="2" t="inlineStr">
        <is>
          <t>Business Rules</t>
        </is>
      </c>
      <c r="D83" s="2" t="inlineStr">
        <is>
          <t>Campos obligatorios</t>
        </is>
      </c>
      <c r="E83" s="2" t="inlineStr">
        <is>
          <t>Formulario de registro farmacológico</t>
        </is>
      </c>
      <c r="F83" s="2" t="inlineStr">
        <is>
          <t>Verificar que médico tratante asignado y estado del caso farmacológico son obligatorios: no se puede guardar el registro si falta cualquiera de ellos.</t>
        </is>
      </c>
      <c r="G83" s="2" t="inlineStr">
        <is>
          <t>Web</t>
        </is>
      </c>
      <c r="H83" s="2" t="inlineStr">
        <is>
          <t>Usuario administrativo autenticado; folio 12345 seleccionado y datos básicos confirmados en el formulario.</t>
        </is>
      </c>
      <c r="I83" s="2" t="inlineStr">
        <is>
          <t>1. Dejar vacíos los campos médico tratante y estado del caso. 2. Hacer clic en 'Guardar'. 3. Ingresar 'Dr. Juan Soto' como médico tratante dejando el estado vacío. 4. Hacer clic en 'Guardar'.</t>
        </is>
      </c>
      <c r="J83" s="2" t="inlineStr">
        <is>
          <t>En ambos intentos el sistema muestra errores específicos por cada campo obligatorio faltante (médico tratante y/o estado del caso) y no crea el registro hasta que ambos estén completos.</t>
        </is>
      </c>
      <c r="K83" s="2" t="inlineStr"/>
      <c r="L83" s="2" t="inlineStr"/>
      <c r="M83" s="2" t="inlineStr">
        <is>
          <t>P0</t>
        </is>
      </c>
      <c r="N83" s="4" t="inlineStr">
        <is>
          <t>Major</t>
        </is>
      </c>
      <c r="O83" s="2" t="inlineStr"/>
      <c r="P83" s="2" t="inlineStr"/>
      <c r="Q83" s="2" t="inlineStr">
        <is>
          <t>BR-3</t>
        </is>
      </c>
    </row>
    <row r="84">
      <c r="A84" s="2" t="inlineStr">
        <is>
          <t>EPIC-02</t>
        </is>
      </c>
      <c r="B84" s="2" t="inlineStr">
        <is>
          <t>TC-CEPA-020-005</t>
        </is>
      </c>
      <c r="C84" s="2" t="inlineStr">
        <is>
          <t>Business Rules</t>
        </is>
      </c>
      <c r="D84" s="2" t="inlineStr">
        <is>
          <t>Unicidad de registro por folio</t>
        </is>
      </c>
      <c r="E84" s="2" t="inlineStr">
        <is>
          <t>Formulario de registro farmacológico</t>
        </is>
      </c>
      <c r="F84" s="2" t="inlineStr">
        <is>
          <t>Verificar que un folio puede tener a lo sumo un registro farmacológico activo: al intentar crear un segundo registro para el mismo folio, el sistema reutiliza/reactiva el existente sin duplicar.</t>
        </is>
      </c>
      <c r="G84" s="2" t="inlineStr">
        <is>
          <t>Web</t>
        </is>
      </c>
      <c r="H84" s="2" t="inlineStr">
        <is>
          <t>Usuario administrativo autenticado; folio 12345 ya tiene un registro farmacológico activo asociado.</t>
        </is>
      </c>
      <c r="I84" s="2" t="inlineStr">
        <is>
          <t>1. Navegar al módulo Gestión de Fármacos. 2. Hacer clic en 'Nuevo registro farmacológico'. 3. Seleccionar el folio 12345 (reingreso con el mismo folio). 4. Hacer clic en 'Guardar'.</t>
        </is>
      </c>
      <c r="J84" s="2" t="inlineStr">
        <is>
          <t>El sistema no crea un segundo registro: reutiliza/reactiva el registro farmacológico existente asociado al folio 12345. Al consultar el folio existe exactamente un registro farmacológico activo.</t>
        </is>
      </c>
      <c r="K84" s="2" t="inlineStr"/>
      <c r="L84" s="2" t="inlineStr"/>
      <c r="M84" s="2" t="inlineStr">
        <is>
          <t>P0</t>
        </is>
      </c>
      <c r="N84" s="4" t="inlineStr">
        <is>
          <t>Major</t>
        </is>
      </c>
      <c r="O84" s="2" t="inlineStr"/>
      <c r="P84" s="2" t="inlineStr"/>
      <c r="Q84" s="2" t="inlineStr">
        <is>
          <t>BR-4</t>
        </is>
      </c>
    </row>
    <row r="85">
      <c r="A85" s="2" t="inlineStr">
        <is>
          <t>EPIC-02</t>
        </is>
      </c>
      <c r="B85" s="2" t="inlineStr">
        <is>
          <t>TC-CEPA-020-006</t>
        </is>
      </c>
      <c r="C85" s="2" t="inlineStr">
        <is>
          <t>Security</t>
        </is>
      </c>
      <c r="D85" s="2" t="inlineStr">
        <is>
          <t>RBAC</t>
        </is>
      </c>
      <c r="E85" s="2" t="inlineStr">
        <is>
          <t>Control de acceso por perfil (RBAC)</t>
        </is>
      </c>
      <c r="F85" s="2" t="inlineStr">
        <is>
          <t>Verificar que el perfil Auditor accede al registro farmacológico en modo solo lectura y no puede crear ni editar, y que el perfil Clínico no existe en el sistema (D1).</t>
        </is>
      </c>
      <c r="G85" s="2" t="inlineStr">
        <is>
          <t>Web/API</t>
        </is>
      </c>
      <c r="H85" s="2" t="inlineStr">
        <is>
          <t>Usuario con perfil Auditor autenticado; existe registro farmacológico para el folio 12345.</t>
        </is>
      </c>
      <c r="I85" s="2" t="inlineStr">
        <is>
          <t>1. Navegar al módulo Gestión de Fármacos con sesión Auditor. 2. Verificar la ausencia del botón 'Nuevo registro farmacológico'. 3. Abrir el registro del folio 12345 e intentar modificar el médico tratante. 4. Enviar vía API un POST a /api/v1 de registro farmacológico con el token del Auditor. 5. Revisar en la administración de usuarios los perfiles disponibles.</t>
        </is>
      </c>
      <c r="J85" s="2" t="inlineStr">
        <is>
          <t>La UI del Auditor no expone acciones de creación/edición (solo lectura); la petición POST vía API es rechazada con 403 Forbidden; el catálogo de perfiles solo contiene Coordinación, Administrativo y Auditor (no existe perfil Clínico).</t>
        </is>
      </c>
      <c r="K85" s="2" t="inlineStr"/>
      <c r="L85" s="2" t="inlineStr"/>
      <c r="M85" s="2" t="inlineStr">
        <is>
          <t>P0</t>
        </is>
      </c>
      <c r="N85" s="3" t="inlineStr">
        <is>
          <t>Critical</t>
        </is>
      </c>
      <c r="O85" s="2" t="inlineStr"/>
      <c r="P85" s="2" t="inlineStr"/>
      <c r="Q85" s="2" t="inlineStr">
        <is>
          <t>BR-5</t>
        </is>
      </c>
    </row>
    <row r="86">
      <c r="A86" s="2" t="inlineStr">
        <is>
          <t>EPIC-02</t>
        </is>
      </c>
      <c r="B86" s="2" t="inlineStr">
        <is>
          <t>TC-CEPA-020-007</t>
        </is>
      </c>
      <c r="C86" s="2" t="inlineStr">
        <is>
          <t>Business Rules</t>
        </is>
      </c>
      <c r="D86" s="2" t="inlineStr">
        <is>
          <t>Auditoría de operaciones</t>
        </is>
      </c>
      <c r="E86" s="2" t="inlineStr">
        <is>
          <t>Log de auditoría</t>
        </is>
      </c>
      <c r="F86" s="2" t="inlineStr">
        <is>
          <t>Verificar que toda operación CRUD sobre el registro farmacológico queda registrada en el log de auditoría con quién, qué y cuándo.</t>
        </is>
      </c>
      <c r="G86" s="2" t="inlineStr">
        <is>
          <t>Web/API</t>
        </is>
      </c>
      <c r="H86" s="2" t="inlineStr">
        <is>
          <t>Usuario administrativo 'aperez' autenticado; folio 12345 disponible sin registro farmacológico.</t>
        </is>
      </c>
      <c r="I86" s="2" t="inlineStr">
        <is>
          <t>1. Crear un registro farmacológico para el folio 12345. 2. Editar el registro cambiando el estado del caso a 'En seguimiento'. 3. Eliminar/desactivar el registro. 4. Consultar el log de auditoría del sistema filtrando por el folio 12345.</t>
        </is>
      </c>
      <c r="J86" s="2" t="inlineStr">
        <is>
          <t>El log de auditoría contiene una entrada por cada operación (creación, edición, eliminación/desactivación) indicando el usuario 'aperez' (quién), la operación y entidad afectada con valores modificados (qué) y la fecha/hora (cuándo).</t>
        </is>
      </c>
      <c r="K86" s="2" t="inlineStr"/>
      <c r="L86" s="2" t="inlineStr"/>
      <c r="M86" s="2" t="inlineStr">
        <is>
          <t>P0</t>
        </is>
      </c>
      <c r="N86" s="4" t="inlineStr">
        <is>
          <t>Major</t>
        </is>
      </c>
      <c r="O86" s="2" t="inlineStr"/>
      <c r="P86" s="2" t="inlineStr"/>
      <c r="Q86" s="2" t="inlineStr">
        <is>
          <t>BR-6</t>
        </is>
      </c>
    </row>
    <row r="87">
      <c r="A87" s="2" t="inlineStr">
        <is>
          <t>EPIC-02</t>
        </is>
      </c>
      <c r="B87" s="2" t="inlineStr">
        <is>
          <t>TC-CEPA-020-008</t>
        </is>
      </c>
      <c r="C87" s="2" t="inlineStr">
        <is>
          <t>Data Integrity</t>
        </is>
      </c>
      <c r="D87" s="2" t="inlineStr">
        <is>
          <t>Cobertura de columnas de planilla</t>
        </is>
      </c>
      <c r="E87" s="2" t="inlineStr">
        <is>
          <t>Modelo de datos del registro farmacológico</t>
        </is>
      </c>
      <c r="F87" s="2" t="inlineStr">
        <is>
          <t>Verificar que el módulo captura todas las columnas base de la hoja 'Gestión de Fármacos' de la planilla original y que 'Estado' se maneja como catálogo cerrado.</t>
        </is>
      </c>
      <c r="G87" s="2" t="inlineStr">
        <is>
          <t>Web</t>
        </is>
      </c>
      <c r="H87" s="2" t="inlineStr">
        <is>
          <t>Usuario administrativo autenticado; folio 12345 existe en Ingresos.</t>
        </is>
      </c>
      <c r="I87" s="2" t="inlineStr">
        <is>
          <t>1. Crear un registro farmacológico para el folio 12345. 2. Verificar la existencia y captura de los campos base de la hoja: Folio, Mes, Región de derivación, Fecha Ingreso, Nombre del paciente, Rut, Médico Tratante y Estado. 3. Abrir el campo Estado y revisar sus valores disponibles. 4. Intentar ingresar en Estado un valor libre no perteneciente al catálogo.</t>
        </is>
      </c>
      <c r="J87" s="2" t="inlineStr">
        <is>
          <t>Los 8 campos base de la hoja 'Gestión de Fármacos' existen y se capturan en el módulo (los heredados del folio se pre-llenan, no se re-digitan); el campo Estado es una lista desplegable de catálogo cerrado y no acepta texto libre fuera de los valores definidos.</t>
        </is>
      </c>
      <c r="K87" s="2" t="inlineStr"/>
      <c r="L87" s="2" t="inlineStr"/>
      <c r="M87" s="2" t="inlineStr">
        <is>
          <t>P0</t>
        </is>
      </c>
      <c r="N87" s="4" t="inlineStr">
        <is>
          <t>Major</t>
        </is>
      </c>
      <c r="O87" s="2" t="inlineStr"/>
      <c r="P87" s="2" t="inlineStr"/>
      <c r="Q87" s="2" t="inlineStr">
        <is>
          <t>PLANILLA</t>
        </is>
      </c>
    </row>
    <row r="88">
      <c r="A88" s="2" t="inlineStr">
        <is>
          <t>EPIC-02</t>
        </is>
      </c>
      <c r="B88" s="2" t="inlineStr">
        <is>
          <t>TC-CEPA-021-001</t>
        </is>
      </c>
      <c r="C88" s="2" t="inlineStr">
        <is>
          <t>Functional</t>
        </is>
      </c>
      <c r="D88" s="2" t="inlineStr">
        <is>
          <t>Registro de historial clínico</t>
        </is>
      </c>
      <c r="E88" s="2" t="inlineStr">
        <is>
          <t>Historial clínico farmacológico</t>
        </is>
      </c>
      <c r="F88" s="2" t="inlineStr">
        <is>
          <t>Verificar que el sistema guarda los antecedentes previos de salud mental y el tratamiento farmacológico previo como historial estructurado vinculado al folio.</t>
        </is>
      </c>
      <c r="G88" s="2" t="inlineStr">
        <is>
          <t>Web</t>
        </is>
      </c>
      <c r="H88" s="2" t="inlineStr">
        <is>
          <t>Usuario administrativo autenticado; registro farmacológico existente para el folio 12345.</t>
        </is>
      </c>
      <c r="I88" s="2" t="inlineStr">
        <is>
          <t>1. Abrir el registro farmacológico del folio 12345. 2. Ingresar en antecedentes previos de salud mental: 'Episodio depresivo 2023, sin hospitalizaciones'. 3. Ingresar en tratamiento farmacológico previo: 'Fluoxetina 20 mg (2023-2024), suspendida'. 4. Hacer clic en 'Guardar'.</t>
        </is>
      </c>
      <c r="J88" s="2" t="inlineStr">
        <is>
          <t>El sistema guarda el historial estructurado (antecedentes previos y tratamiento previo) vinculado al folio 12345 y lo muestra al reabrir el registro.</t>
        </is>
      </c>
      <c r="K88" s="2" t="inlineStr"/>
      <c r="L88" s="2" t="inlineStr"/>
      <c r="M88" s="2" t="inlineStr">
        <is>
          <t>P0</t>
        </is>
      </c>
      <c r="N88" s="3" t="inlineStr">
        <is>
          <t>Critical</t>
        </is>
      </c>
      <c r="O88" s="2" t="inlineStr"/>
      <c r="P88" s="2" t="inlineStr"/>
      <c r="Q88" s="2" t="inlineStr">
        <is>
          <t>S1</t>
        </is>
      </c>
    </row>
    <row r="89">
      <c r="A89" s="2" t="inlineStr">
        <is>
          <t>EPIC-02</t>
        </is>
      </c>
      <c r="B89" s="2" t="inlineStr">
        <is>
          <t>TC-CEPA-021-002</t>
        </is>
      </c>
      <c r="C89" s="2" t="inlineStr">
        <is>
          <t>Functional</t>
        </is>
      </c>
      <c r="D89" s="2" t="inlineStr">
        <is>
          <t>Registro de indicación actual</t>
        </is>
      </c>
      <c r="E89" s="2" t="inlineStr">
        <is>
          <t>Esquema farmacológico</t>
        </is>
      </c>
      <c r="F89" s="2" t="inlineStr">
        <is>
          <t>Verificar que al registrar una indicación farmacológica actual con medicamento, dosis y frecuencia se crea una entrada del esquema farmacológico vigente del paciente.</t>
        </is>
      </c>
      <c r="G89" s="2" t="inlineStr">
        <is>
          <t>Web</t>
        </is>
      </c>
      <c r="H89" s="2" t="inlineStr">
        <is>
          <t>Usuario administrativo autenticado; registro farmacológico existente para el folio 12345.</t>
        </is>
      </c>
      <c r="I89" s="2" t="inlineStr">
        <is>
          <t>1. Abrir el registro farmacológico del folio 12345. 2. Hacer clic en 'Agregar indicación actual'. 3. Seleccionar medicamento 'Sertralina' del catálogo. 4. Ingresar dosis '50 mg'. 5. Ingresar frecuencia 'cada 24 horas'. 6. Hacer clic en 'Guardar'.</t>
        </is>
      </c>
      <c r="J89" s="2" t="inlineStr">
        <is>
          <t>El sistema crea la entrada Sertralina 50 mg c/24h en el esquema farmacológico y la muestra como indicación vigente del paciente vinculada al folio.</t>
        </is>
      </c>
      <c r="K89" s="2" t="inlineStr"/>
      <c r="L89" s="2" t="inlineStr"/>
      <c r="M89" s="2" t="inlineStr">
        <is>
          <t>P0</t>
        </is>
      </c>
      <c r="N89" s="3" t="inlineStr">
        <is>
          <t>Critical</t>
        </is>
      </c>
      <c r="O89" s="2" t="inlineStr"/>
      <c r="P89" s="2" t="inlineStr"/>
      <c r="Q89" s="2" t="inlineStr">
        <is>
          <t>S1</t>
        </is>
      </c>
    </row>
    <row r="90">
      <c r="A90" s="2" t="inlineStr">
        <is>
          <t>EPIC-02</t>
        </is>
      </c>
      <c r="B90" s="2" t="inlineStr">
        <is>
          <t>TC-CEPA-021-003</t>
        </is>
      </c>
      <c r="C90" s="2" t="inlineStr">
        <is>
          <t>Functional</t>
        </is>
      </c>
      <c r="D90" s="2" t="inlineStr">
        <is>
          <t>Fármaco extra-sistema</t>
        </is>
      </c>
      <c r="E90" s="2" t="inlineStr">
        <is>
          <t>Esquema farmacológico</t>
        </is>
      </c>
      <c r="F90" s="2" t="inlineStr">
        <is>
          <t>Verificar que un medicamento que no pertenece al catálogo institucional puede registrarse marcándolo como fármaco extra-sistema y queda identificado como tal (D7).</t>
        </is>
      </c>
      <c r="G90" s="2" t="inlineStr">
        <is>
          <t>Web</t>
        </is>
      </c>
      <c r="H90" s="2" t="inlineStr">
        <is>
          <t>Usuario administrativo autenticado; registro farmacológico existente para el folio 12345; el medicamento 'Vortioxetina importada' no existe en el catálogo institucional.</t>
        </is>
      </c>
      <c r="I90" s="2" t="inlineStr">
        <is>
          <t>1. Hacer clic en 'Agregar indicación actual'. 2. Buscar 'Vortioxetina importada' en el catálogo y verificar que no aparece. 3. Marcar la opción 'Fármaco extra-sistema'. 4. Ingresar el nombre 'Vortioxetina importada', dosis '10 mg' y frecuencia 'cada 24 horas'. 5. Hacer clic en 'Guardar'.</t>
        </is>
      </c>
      <c r="J90" s="2" t="inlineStr">
        <is>
          <t>El sistema acepta el registro de la indicación y la entrada del esquema queda visiblemente identificada/etiquetada como fármaco extra-sistema.</t>
        </is>
      </c>
      <c r="K90" s="2" t="inlineStr"/>
      <c r="L90" s="2" t="inlineStr"/>
      <c r="M90" s="2" t="inlineStr">
        <is>
          <t>P0</t>
        </is>
      </c>
      <c r="N90" s="4" t="inlineStr">
        <is>
          <t>Major</t>
        </is>
      </c>
      <c r="O90" s="2" t="inlineStr"/>
      <c r="P90" s="2" t="inlineStr"/>
      <c r="Q90" s="2" t="inlineStr">
        <is>
          <t>S2</t>
        </is>
      </c>
    </row>
    <row r="91">
      <c r="A91" s="2" t="inlineStr">
        <is>
          <t>EPIC-02</t>
        </is>
      </c>
      <c r="B91" s="2" t="inlineStr">
        <is>
          <t>TC-CEPA-021-004</t>
        </is>
      </c>
      <c r="C91" s="2" t="inlineStr">
        <is>
          <t>Business Rules</t>
        </is>
      </c>
      <c r="D91" s="2" t="inlineStr">
        <is>
          <t>Campos obligatorios del esquema</t>
        </is>
      </c>
      <c r="E91" s="2" t="inlineStr">
        <is>
          <t>Esquema farmacológico</t>
        </is>
      </c>
      <c r="F91" s="2" t="inlineStr">
        <is>
          <t>Verificar que cada entrada de indicación actual exige medicamento, dosis y frecuencia: no se puede guardar una indicación incompleta.</t>
        </is>
      </c>
      <c r="G91" s="2" t="inlineStr">
        <is>
          <t>Web</t>
        </is>
      </c>
      <c r="H91" s="2" t="inlineStr">
        <is>
          <t>Usuario administrativo autenticado; registro farmacológico existente para el folio 12345; formulario de indicación actual abierto.</t>
        </is>
      </c>
      <c r="I91" s="2" t="inlineStr">
        <is>
          <t>1. Seleccionar medicamento 'Sertralina' dejando vacíos dosis y frecuencia. 2. Hacer clic en 'Guardar'. 3. Ingresar dosis '50 mg' dejando la frecuencia vacía. 4. Hacer clic en 'Guardar'.</t>
        </is>
      </c>
      <c r="J91" s="2" t="inlineStr">
        <is>
          <t>En ambos intentos el sistema muestra errores específicos por los campos obligatorios faltantes (dosis y/o frecuencia) y no crea la entrada del esquema hasta que medicamento, dosis y frecuencia estén completos.</t>
        </is>
      </c>
      <c r="K91" s="2" t="inlineStr"/>
      <c r="L91" s="2" t="inlineStr"/>
      <c r="M91" s="2" t="inlineStr">
        <is>
          <t>P0</t>
        </is>
      </c>
      <c r="N91" s="4" t="inlineStr">
        <is>
          <t>Major</t>
        </is>
      </c>
      <c r="O91" s="2" t="inlineStr"/>
      <c r="P91" s="2" t="inlineStr"/>
      <c r="Q91" s="2" t="inlineStr">
        <is>
          <t>BR-1</t>
        </is>
      </c>
    </row>
    <row r="92">
      <c r="A92" s="2" t="inlineStr">
        <is>
          <t>EPIC-02</t>
        </is>
      </c>
      <c r="B92" s="2" t="inlineStr">
        <is>
          <t>TC-CEPA-021-005</t>
        </is>
      </c>
      <c r="C92" s="2" t="inlineStr">
        <is>
          <t>Business Rules</t>
        </is>
      </c>
      <c r="D92" s="2" t="inlineStr">
        <is>
          <t>Versionado del esquema</t>
        </is>
      </c>
      <c r="E92" s="2" t="inlineStr">
        <is>
          <t>Esquema farmacológico</t>
        </is>
      </c>
      <c r="F92" s="2" t="inlineStr">
        <is>
          <t>Verificar que el esquema farmacológico es versionable: una nueva indicación no borra la anterior y se conserva el historial completo por folio.</t>
        </is>
      </c>
      <c r="G92" s="2" t="inlineStr">
        <is>
          <t>Web</t>
        </is>
      </c>
      <c r="H92" s="2" t="inlineStr">
        <is>
          <t>Usuario administrativo autenticado; folio 12345 con indicación vigente 'Sertralina 50 mg c/24h' registrada en el esquema.</t>
        </is>
      </c>
      <c r="I92" s="2" t="inlineStr">
        <is>
          <t>1. Abrir el esquema farmacológico del folio 12345. 2. Hacer clic en 'Agregar indicación actual'. 3. Ingresar medicamento 'Sertralina', dosis '100 mg', frecuencia 'cada 24 horas'. 4. Hacer clic en 'Guardar'. 5. Consultar el historial del esquema del folio.</t>
        </is>
      </c>
      <c r="J92" s="2" t="inlineStr">
        <is>
          <t>El historial conserva ambas entradas: la indicación previa (50 mg) queda como histórica sin borrarse y la nueva (100 mg) queda marcada como vigente.</t>
        </is>
      </c>
      <c r="K92" s="2" t="inlineStr"/>
      <c r="L92" s="2" t="inlineStr"/>
      <c r="M92" s="2" t="inlineStr">
        <is>
          <t>P0</t>
        </is>
      </c>
      <c r="N92" s="3" t="inlineStr">
        <is>
          <t>Critical</t>
        </is>
      </c>
      <c r="O92" s="2" t="inlineStr"/>
      <c r="P92" s="2" t="inlineStr"/>
      <c r="Q92" s="2" t="inlineStr">
        <is>
          <t>BR-2</t>
        </is>
      </c>
    </row>
    <row r="93">
      <c r="A93" s="2" t="inlineStr">
        <is>
          <t>EPIC-02</t>
        </is>
      </c>
      <c r="B93" s="2" t="inlineStr">
        <is>
          <t>TC-CEPA-021-006</t>
        </is>
      </c>
      <c r="C93" s="2" t="inlineStr">
        <is>
          <t>Security</t>
        </is>
      </c>
      <c r="D93" s="2" t="inlineStr">
        <is>
          <t>RBAC</t>
        </is>
      </c>
      <c r="E93" s="2" t="inlineStr">
        <is>
          <t>Control de acceso por perfil (RBAC)</t>
        </is>
      </c>
      <c r="F93" s="2" t="inlineStr">
        <is>
          <t>Verificar que el perfil Auditor no puede editar el historial ni el esquema farmacológico y solo accede en lectura.</t>
        </is>
      </c>
      <c r="G93" s="2" t="inlineStr">
        <is>
          <t>Web/API</t>
        </is>
      </c>
      <c r="H93" s="2" t="inlineStr">
        <is>
          <t>Usuario con perfil Auditor autenticado; folio 12345 con historial y esquema farmacológico registrados.</t>
        </is>
      </c>
      <c r="I93" s="2" t="inlineStr">
        <is>
          <t>1. Abrir el registro farmacológico del folio 12345 con sesión Auditor. 2. Verificar la ausencia de botones 'Agregar indicación' y de edición del historial. 3. Enviar vía API un POST/PUT al endpoint del esquema farmacológico con el token del Auditor.</t>
        </is>
      </c>
      <c r="J93" s="2" t="inlineStr">
        <is>
          <t>La UI del Auditor muestra historial y esquema en modo solo lectura sin acciones de edición; las peticiones de escritura vía API son rechazadas con 403 Forbidden.</t>
        </is>
      </c>
      <c r="K93" s="2" t="inlineStr"/>
      <c r="L93" s="2" t="inlineStr"/>
      <c r="M93" s="2" t="inlineStr">
        <is>
          <t>P0</t>
        </is>
      </c>
      <c r="N93" s="3" t="inlineStr">
        <is>
          <t>Critical</t>
        </is>
      </c>
      <c r="O93" s="2" t="inlineStr"/>
      <c r="P93" s="2" t="inlineStr"/>
      <c r="Q93" s="2" t="inlineStr">
        <is>
          <t>BR-5</t>
        </is>
      </c>
    </row>
    <row r="94">
      <c r="A94" s="2" t="inlineStr">
        <is>
          <t>EPIC-02</t>
        </is>
      </c>
      <c r="B94" s="2" t="inlineStr">
        <is>
          <t>TC-CEPA-021-007</t>
        </is>
      </c>
      <c r="C94" s="2" t="inlineStr">
        <is>
          <t>Business Rules</t>
        </is>
      </c>
      <c r="D94" s="2" t="inlineStr">
        <is>
          <t>Auditoría de operaciones</t>
        </is>
      </c>
      <c r="E94" s="2" t="inlineStr">
        <is>
          <t>Log de auditoría</t>
        </is>
      </c>
      <c r="F94" s="2" t="inlineStr">
        <is>
          <t>Verificar que las operaciones CRUD sobre historial clínico y esquema farmacológico quedan registradas en el log de auditoría.</t>
        </is>
      </c>
      <c r="G94" s="2" t="inlineStr">
        <is>
          <t>Web/API</t>
        </is>
      </c>
      <c r="H94" s="2" t="inlineStr">
        <is>
          <t>Usuario administrativo 'aperez' autenticado; registro farmacológico existente para el folio 12345.</t>
        </is>
      </c>
      <c r="I94" s="2" t="inlineStr">
        <is>
          <t>1. Registrar antecedentes previos en el historial del folio 12345. 2. Agregar la indicación 'Sertralina 50 mg c/24h' al esquema. 3. Editar la indicación cambiando la dosis a 100 mg. 4. Consultar el log de auditoría filtrando por el folio 12345.</t>
        </is>
      </c>
      <c r="J94" s="2" t="inlineStr">
        <is>
          <t>El log contiene una entrada por cada operación (alta de historial, alta de indicación, edición de indicación) con usuario 'aperez', detalle de la operación y fecha/hora.</t>
        </is>
      </c>
      <c r="K94" s="2" t="inlineStr"/>
      <c r="L94" s="2" t="inlineStr"/>
      <c r="M94" s="2" t="inlineStr">
        <is>
          <t>P0</t>
        </is>
      </c>
      <c r="N94" s="4" t="inlineStr">
        <is>
          <t>Major</t>
        </is>
      </c>
      <c r="O94" s="2" t="inlineStr"/>
      <c r="P94" s="2" t="inlineStr"/>
      <c r="Q94" s="2" t="inlineStr">
        <is>
          <t>BR-6</t>
        </is>
      </c>
    </row>
    <row r="95">
      <c r="A95" s="2" t="inlineStr">
        <is>
          <t>EPIC-02</t>
        </is>
      </c>
      <c r="B95" s="2" t="inlineStr">
        <is>
          <t>TC-CEPA-022-001</t>
        </is>
      </c>
      <c r="C95" s="2" t="inlineStr">
        <is>
          <t>Functional</t>
        </is>
      </c>
      <c r="D95" s="2" t="inlineStr">
        <is>
          <t>Registro de receta</t>
        </is>
      </c>
      <c r="E95" s="2" t="inlineStr">
        <is>
          <t>Gestión de recetas</t>
        </is>
      </c>
      <c r="F95" s="2" t="inlineStr">
        <is>
          <t>Verificar que al registrar una nueva receta con fecha de emisión, revisión, envío y marca del medicamento, la receta queda vinculada al folio y visible desde el módulo de Ingresos.</t>
        </is>
      </c>
      <c r="G95" s="2" t="inlineStr">
        <is>
          <t>Web</t>
        </is>
      </c>
      <c r="H95" s="2" t="inlineStr">
        <is>
          <t>Usuario administrativo autenticado; registro farmacológico existente para el folio 12345.</t>
        </is>
      </c>
      <c r="I95" s="2" t="inlineStr">
        <is>
          <t>1. Abrir el registro farmacológico del folio 12345. 2. Hacer clic en 'Nueva receta'. 3. Ingresar fecha de emisión 01/06/2026. 4. Ingresar fecha de revisión 20/06/2026. 5. Ingresar fecha de envío 02/06/2026. 6. Ingresar marca del medicamento 'Altruline'. 7. Hacer clic en 'Guardar'. 8. Navegar al módulo de Ingresos y abrir la vista consolidada del folio 12345.</t>
        </is>
      </c>
      <c r="J95" s="2" t="inlineStr">
        <is>
          <t>La receta se guarda con sus cuatro datos (emisión, revisión, envío, marca) vinculada al folio 12345 y es visible desde la vista consolidada del folio en el módulo de Ingresos.</t>
        </is>
      </c>
      <c r="K95" s="2" t="inlineStr"/>
      <c r="L95" s="2" t="inlineStr"/>
      <c r="M95" s="2" t="inlineStr">
        <is>
          <t>P0</t>
        </is>
      </c>
      <c r="N95" s="3" t="inlineStr">
        <is>
          <t>Critical</t>
        </is>
      </c>
      <c r="O95" s="2" t="inlineStr"/>
      <c r="P95" s="2" t="inlineStr"/>
      <c r="Q95" s="2" t="inlineStr">
        <is>
          <t>S1</t>
        </is>
      </c>
    </row>
    <row r="96">
      <c r="A96" s="2" t="inlineStr">
        <is>
          <t>EPIC-02</t>
        </is>
      </c>
      <c r="B96" s="2" t="inlineStr">
        <is>
          <t>TC-CEPA-022-002</t>
        </is>
      </c>
      <c r="C96" s="2" t="inlineStr">
        <is>
          <t>Functional</t>
        </is>
      </c>
      <c r="D96" s="2" t="inlineStr">
        <is>
          <t>Alerta de revisión próxima</t>
        </is>
      </c>
      <c r="E96" s="2" t="inlineStr">
        <is>
          <t>Motor de alertas de recetas</t>
        </is>
      </c>
      <c r="F96" s="2" t="inlineStr">
        <is>
          <t>Verificar que cuando una receta tiene fecha de revisión dentro de los próximos 5 días, el proceso de alertas genera una alerta visible en el panel del administrativo asignado.</t>
        </is>
      </c>
      <c r="G96" s="2" t="inlineStr">
        <is>
          <t>Web/API</t>
        </is>
      </c>
      <c r="H96" s="2" t="inlineStr">
        <is>
          <t>Fecha de ejecución del proceso: 03/06/2026; receta del folio 12345 con fecha de revisión 04/06/2026 (en 1 día); administrativo 'aperez' asignado al caso.</t>
        </is>
      </c>
      <c r="I96" s="2" t="inlineStr">
        <is>
          <t>1. Ejecutar (o gatillar) el proceso programado de alertas. 2. Iniciar sesión como el administrativo asignado 'aperez'. 3. Abrir el panel de alertas.</t>
        </is>
      </c>
      <c r="J96" s="2" t="inlineStr">
        <is>
          <t>Se genera una alerta in-app por la receta del folio 12345 con revisión próxima (04/06/2026), visible en el panel del administrativo asignado.</t>
        </is>
      </c>
      <c r="K96" s="2" t="inlineStr"/>
      <c r="L96" s="2" t="inlineStr"/>
      <c r="M96" s="2" t="inlineStr">
        <is>
          <t>P0</t>
        </is>
      </c>
      <c r="N96" s="3" t="inlineStr">
        <is>
          <t>Critical</t>
        </is>
      </c>
      <c r="O96" s="2" t="inlineStr"/>
      <c r="P96" s="2" t="inlineStr"/>
      <c r="Q96" s="2" t="inlineStr">
        <is>
          <t>S1</t>
        </is>
      </c>
    </row>
    <row r="97">
      <c r="A97" s="2" t="inlineStr">
        <is>
          <t>EPIC-02</t>
        </is>
      </c>
      <c r="B97" s="2" t="inlineStr">
        <is>
          <t>TC-CEPA-022-003</t>
        </is>
      </c>
      <c r="C97" s="2" t="inlineStr">
        <is>
          <t>Business Rules</t>
        </is>
      </c>
      <c r="D97" s="2" t="inlineStr">
        <is>
          <t>Bordes de ventana de alerta</t>
        </is>
      </c>
      <c r="E97" s="2" t="inlineStr">
        <is>
          <t>Motor de alertas de recetas</t>
        </is>
      </c>
      <c r="F97" s="2" t="inlineStr">
        <is>
          <t>Verificar los límites de la ventana de 5 días del proceso de alertas: revisión exactamente a 5 días genera alerta (límite inclusivo) y revisión a 6 días no genera alerta.</t>
        </is>
      </c>
      <c r="G97" s="2" t="inlineStr">
        <is>
          <t>Web/API</t>
        </is>
      </c>
      <c r="H97" s="2" t="inlineStr">
        <is>
          <t>Fecha de ejecución del proceso: 03/06/2026; receta A del folio 12345 con fecha de revisión 08/06/2026 (exactamente 5 días); receta B del folio 12346 con fecha de revisión 09/06/2026 (6 días).</t>
        </is>
      </c>
      <c r="I97" s="2" t="inlineStr">
        <is>
          <t>1. Ejecutar el proceso programado de alertas el 03/06/2026. 2. Abrir el panel de alertas del administrativo asignado. 3. Buscar alertas asociadas a la receta A (revisión 08/06). 4. Buscar alertas asociadas a la receta B (revisión 09/06).</t>
        </is>
      </c>
      <c r="J97" s="2" t="inlineStr">
        <is>
          <t>Se genera alerta para la receta A (límite inclusivo de 5 días) y NO se genera alerta para la receta B (fuera de la ventana de 5 días).</t>
        </is>
      </c>
      <c r="K97" s="2" t="inlineStr"/>
      <c r="L97" s="2" t="inlineStr"/>
      <c r="M97" s="2" t="inlineStr">
        <is>
          <t>P0</t>
        </is>
      </c>
      <c r="N97" s="4" t="inlineStr">
        <is>
          <t>Major</t>
        </is>
      </c>
      <c r="O97" s="2" t="inlineStr"/>
      <c r="P97" s="2" t="inlineStr"/>
      <c r="Q97" s="2" t="inlineStr">
        <is>
          <t>BR-3</t>
        </is>
      </c>
    </row>
    <row r="98">
      <c r="A98" s="2" t="inlineStr">
        <is>
          <t>EPIC-02</t>
        </is>
      </c>
      <c r="B98" s="2" t="inlineStr">
        <is>
          <t>TC-CEPA-022-004</t>
        </is>
      </c>
      <c r="C98" s="2" t="inlineStr">
        <is>
          <t>Business Rules</t>
        </is>
      </c>
      <c r="D98" s="2" t="inlineStr">
        <is>
          <t>Redirección de alerta (D1)</t>
        </is>
      </c>
      <c r="E98" s="2" t="inlineStr">
        <is>
          <t>Motor de alertas de recetas</t>
        </is>
      </c>
      <c r="F98" s="2" t="inlineStr">
        <is>
          <t>Verificar que la alerta de revisión se dirige únicamente al administrativo asignado (in-app) y que el médico tratante queda solo como dato informativo sin notificación, según D1.</t>
        </is>
      </c>
      <c r="G98" s="2" t="inlineStr">
        <is>
          <t>Web/API</t>
        </is>
      </c>
      <c r="H98" s="2" t="inlineStr">
        <is>
          <t>Receta del folio 12345 con revisión dentro de 3 días; administrativo asignado 'aperez'; médico tratante 'Dr. Juan Soto' registrado como dato de referencia.</t>
        </is>
      </c>
      <c r="I98" s="2" t="inlineStr">
        <is>
          <t>1. Ejecutar el proceso programado de alertas. 2. Revisar el panel de alertas del administrativo asignado 'aperez'. 3. Consultar los destinatarios de la alerta generada (registro/endpoint de notificaciones). 4. Verificar que no existe usuario ni notificación asociada al médico tratante.</t>
        </is>
      </c>
      <c r="J98" s="2" t="inlineStr">
        <is>
          <t>La alerta in-app se genera solo para el administrativo asignado; el médico tratante no recibe notificación (no es usuario del sistema) y figura únicamente como dato informativo del caso. El correo, de usarse, es solo para alertas (D12).</t>
        </is>
      </c>
      <c r="K98" s="2" t="inlineStr"/>
      <c r="L98" s="2" t="inlineStr"/>
      <c r="M98" s="2" t="inlineStr">
        <is>
          <t>P0</t>
        </is>
      </c>
      <c r="N98" s="4" t="inlineStr">
        <is>
          <t>Major</t>
        </is>
      </c>
      <c r="O98" s="2" t="inlineStr"/>
      <c r="P98" s="2" t="inlineStr"/>
      <c r="Q98" s="2" t="inlineStr">
        <is>
          <t>BR-4</t>
        </is>
      </c>
    </row>
    <row r="99">
      <c r="A99" s="2" t="inlineStr">
        <is>
          <t>EPIC-02</t>
        </is>
      </c>
      <c r="B99" s="2" t="inlineStr">
        <is>
          <t>TC-CEPA-022-005</t>
        </is>
      </c>
      <c r="C99" s="2" t="inlineStr">
        <is>
          <t>Business Rules</t>
        </is>
      </c>
      <c r="D99" s="2" t="inlineStr">
        <is>
          <t>Validación de fechas de receta</t>
        </is>
      </c>
      <c r="E99" s="2" t="inlineStr">
        <is>
          <t>Gestión de recetas</t>
        </is>
      </c>
      <c r="F99" s="2" t="inlineStr">
        <is>
          <t>Verificar que la fecha de revisión y la fecha de envío no pueden ser anteriores a la fecha de emisión de la receta.</t>
        </is>
      </c>
      <c r="G99" s="2" t="inlineStr">
        <is>
          <t>Web</t>
        </is>
      </c>
      <c r="H99" s="2" t="inlineStr">
        <is>
          <t>Usuario administrativo autenticado; formulario de nueva receta abierto para el folio 12345.</t>
        </is>
      </c>
      <c r="I99" s="2" t="inlineStr">
        <is>
          <t>1. Ingresar fecha de emisión 10/06/2026. 2. Ingresar fecha de revisión 05/06/2026 (anterior a la emisión). 3. Hacer clic en 'Guardar'. 4. Corregir la revisión a 20/06/2026 e ingresar fecha de envío 08/06/2026 (anterior a la emisión). 5. Hacer clic en 'Guardar'.</t>
        </is>
      </c>
      <c r="J99" s="2" t="inlineStr">
        <is>
          <t>En el paso 3 el sistema muestra error de validación indicando que la fecha de revisión no puede ser anterior a la de emisión; en el paso 5 muestra error indicando que la fecha de envío no puede ser anterior a la de emisión. La receta no se guarda con fechas inconsistentes.</t>
        </is>
      </c>
      <c r="K99" s="2" t="inlineStr"/>
      <c r="L99" s="2" t="inlineStr"/>
      <c r="M99" s="2" t="inlineStr">
        <is>
          <t>P0</t>
        </is>
      </c>
      <c r="N99" s="4" t="inlineStr">
        <is>
          <t>Major</t>
        </is>
      </c>
      <c r="O99" s="2" t="inlineStr"/>
      <c r="P99" s="2" t="inlineStr"/>
      <c r="Q99" s="2" t="inlineStr">
        <is>
          <t>BR-5</t>
        </is>
      </c>
    </row>
    <row r="100">
      <c r="A100" s="2" t="inlineStr">
        <is>
          <t>EPIC-02</t>
        </is>
      </c>
      <c r="B100" s="2" t="inlineStr">
        <is>
          <t>TC-CEPA-022-006</t>
        </is>
      </c>
      <c r="C100" s="2" t="inlineStr">
        <is>
          <t>Security</t>
        </is>
      </c>
      <c r="D100" s="2" t="inlineStr">
        <is>
          <t>RBAC</t>
        </is>
      </c>
      <c r="E100" s="2" t="inlineStr">
        <is>
          <t>Control de acceso por perfil (RBAC)</t>
        </is>
      </c>
      <c r="F100" s="2" t="inlineStr">
        <is>
          <t>Verificar que el perfil Auditor no puede crear ni editar recetas y solo accede en modo lectura.</t>
        </is>
      </c>
      <c r="G100" s="2" t="inlineStr">
        <is>
          <t>Web/API</t>
        </is>
      </c>
      <c r="H100" s="2" t="inlineStr">
        <is>
          <t>Usuario con perfil Auditor autenticado; receta existente vinculada al folio 12345.</t>
        </is>
      </c>
      <c r="I100" s="2" t="inlineStr">
        <is>
          <t>1. Abrir la sección de recetas del folio 12345 con sesión Auditor. 2. Verificar la ausencia del botón 'Nueva receta' y de acciones de edición. 3. Enviar vía API un POST al endpoint de recetas con el token del Auditor.</t>
        </is>
      </c>
      <c r="J100" s="2" t="inlineStr">
        <is>
          <t>La UI del Auditor muestra las recetas en solo lectura sin acciones de creación/edición; la petición POST vía API es rechazada con 403 Forbidden.</t>
        </is>
      </c>
      <c r="K100" s="2" t="inlineStr"/>
      <c r="L100" s="2" t="inlineStr"/>
      <c r="M100" s="2" t="inlineStr">
        <is>
          <t>P0</t>
        </is>
      </c>
      <c r="N100" s="3" t="inlineStr">
        <is>
          <t>Critical</t>
        </is>
      </c>
      <c r="O100" s="2" t="inlineStr"/>
      <c r="P100" s="2" t="inlineStr"/>
      <c r="Q100" s="2" t="inlineStr">
        <is>
          <t>BR-6</t>
        </is>
      </c>
    </row>
    <row r="101">
      <c r="A101" s="2" t="inlineStr">
        <is>
          <t>EPIC-02</t>
        </is>
      </c>
      <c r="B101" s="2" t="inlineStr">
        <is>
          <t>TC-CEPA-022-007</t>
        </is>
      </c>
      <c r="C101" s="2" t="inlineStr">
        <is>
          <t>Business Rules</t>
        </is>
      </c>
      <c r="D101" s="2" t="inlineStr">
        <is>
          <t>Auditoría de operaciones</t>
        </is>
      </c>
      <c r="E101" s="2" t="inlineStr">
        <is>
          <t>Log de auditoría</t>
        </is>
      </c>
      <c r="F101" s="2" t="inlineStr">
        <is>
          <t>Verificar que las operaciones CRUD sobre recetas quedan registradas en el log de auditoría con quién, qué y cuándo.</t>
        </is>
      </c>
      <c r="G101" s="2" t="inlineStr">
        <is>
          <t>Web/API</t>
        </is>
      </c>
      <c r="H101" s="2" t="inlineStr">
        <is>
          <t>Usuario administrativo 'aperez' autenticado; registro farmacológico existente para el folio 12345.</t>
        </is>
      </c>
      <c r="I101" s="2" t="inlineStr">
        <is>
          <t>1. Crear una receta para el folio 12345 (emisión 01/06/2026, revisión 20/06/2026, marca 'Altruline'). 2. Editar la receta cambiando la fecha de envío a 03/06/2026. 3. Eliminar la receta. 4. Consultar el log de auditoría filtrando por el folio 12345.</t>
        </is>
      </c>
      <c r="J101" s="2" t="inlineStr">
        <is>
          <t>El log contiene una entrada por cada operación (creación, edición, eliminación de receta) con usuario 'aperez', detalle de la operación y fecha/hora.</t>
        </is>
      </c>
      <c r="K101" s="2" t="inlineStr"/>
      <c r="L101" s="2" t="inlineStr"/>
      <c r="M101" s="2" t="inlineStr">
        <is>
          <t>P0</t>
        </is>
      </c>
      <c r="N101" s="4" t="inlineStr">
        <is>
          <t>Major</t>
        </is>
      </c>
      <c r="O101" s="2" t="inlineStr"/>
      <c r="P101" s="2" t="inlineStr"/>
      <c r="Q101" s="2" t="inlineStr">
        <is>
          <t>BR-7</t>
        </is>
      </c>
    </row>
    <row r="102">
      <c r="A102" s="2" t="inlineStr">
        <is>
          <t>EPIC-02</t>
        </is>
      </c>
      <c r="B102" s="2" t="inlineStr">
        <is>
          <t>TC-CEPA-022-008</t>
        </is>
      </c>
      <c r="C102" s="2" t="inlineStr">
        <is>
          <t>Data Integrity</t>
        </is>
      </c>
      <c r="D102" s="2" t="inlineStr">
        <is>
          <t>Cobertura de columnas de planilla</t>
        </is>
      </c>
      <c r="E102" s="2" t="inlineStr">
        <is>
          <t>Modelo de datos de recetas y esquema</t>
        </is>
      </c>
      <c r="F102" s="2" t="inlineStr">
        <is>
          <t>Verificar que el módulo captura las columnas clínicas y de receta de la hoja 'Gestión de Fármacos': antecedentes, tratamiento previo, indicación actual, fechas del ciclo de receta (incl. gestiones múltiples Socorro) y marca.</t>
        </is>
      </c>
      <c r="G102" s="2" t="inlineStr">
        <is>
          <t>Web</t>
        </is>
      </c>
      <c r="H102" s="2" t="inlineStr">
        <is>
          <t>Usuario administrativo autenticado; registro farmacológico existente para el folio 12345.</t>
        </is>
      </c>
      <c r="I102" s="2" t="inlineStr">
        <is>
          <t>1. Verificar la captura de los campos clínicos de la hoja: ANTECEDENTES PREVIOS DE SM, TRATAMIENTO FARMACOLÓGICO PREVIO, INDICACIÓN FARMACOLÓGICA ACTUAL. 2. Verificar la captura de las fechas del ciclo de receta: Fecha receta (emisión), Fecha Revisión Receta, Fecha Envío Receta (Ahumada). 3. Verificar que el módulo permite registrar múltiples fechas de gestión de receta (equivalente a Fecha Gestión Receta Socorro, Socorro2 y Socorro3). 4. Verificar la captura del campo MARCA. 5. Guardar un registro con todos estos campos completos y reabrirlo.</t>
        </is>
      </c>
      <c r="J102" s="2" t="inlineStr">
        <is>
          <t>Todos los campos clínicos y de receta de la hoja original (columnas 9 a 17 y MARCA) tienen su equivalente en el módulo; las gestiones múltiples de receta se soportan (al menos 3 fechas de gestión por receta o gestiones ilimitadas); los valores guardados persisten y se muestran correctamente al reabrir.</t>
        </is>
      </c>
      <c r="K102" s="2" t="inlineStr"/>
      <c r="L102" s="2" t="inlineStr"/>
      <c r="M102" s="2" t="inlineStr">
        <is>
          <t>P0</t>
        </is>
      </c>
      <c r="N102" s="4" t="inlineStr">
        <is>
          <t>Major</t>
        </is>
      </c>
      <c r="O102" s="2" t="inlineStr"/>
      <c r="P102" s="2" t="inlineStr"/>
      <c r="Q102" s="2" t="inlineStr">
        <is>
          <t>PLANILLA</t>
        </is>
      </c>
    </row>
    <row r="103">
      <c r="A103" s="2" t="inlineStr">
        <is>
          <t>EPIC-02</t>
        </is>
      </c>
      <c r="B103" s="2" t="inlineStr">
        <is>
          <t>TC-CEPA-023-001</t>
        </is>
      </c>
      <c r="C103" s="2" t="inlineStr">
        <is>
          <t>Functional</t>
        </is>
      </c>
      <c r="D103" s="2" t="inlineStr">
        <is>
          <t>Validación plan de disminución</t>
        </is>
      </c>
      <c r="E103" s="2" t="inlineStr">
        <is>
          <t>Seguimiento de tratamiento</t>
        </is>
      </c>
      <c r="F103" s="2" t="inlineStr">
        <is>
          <t>Verificar que al marcar 'disminución de fármacos = Sí' el sistema exige el detalle del plan de disminución antes de confirmar el guardado.</t>
        </is>
      </c>
      <c r="G103" s="2" t="inlineStr">
        <is>
          <t>Web</t>
        </is>
      </c>
      <c r="H103" s="2" t="inlineStr">
        <is>
          <t>Usuario administrativo autenticado; registro farmacológico existente para el folio 12345; formulario de seguimiento abierto.</t>
        </is>
      </c>
      <c r="I103" s="2" t="inlineStr">
        <is>
          <t>1. Marcar 'Disminución de fármacos' = Sí. 2. Dejar vacío el campo de plan de disminución. 3. Hacer clic en 'Guardar'.</t>
        </is>
      </c>
      <c r="J103" s="2" t="inlineStr">
        <is>
          <t>El sistema muestra un error indicando que el plan de disminución es obligatorio cuando la bandera está en Sí y no confirma el guardado hasta que se ingrese el detalle del plan.</t>
        </is>
      </c>
      <c r="K103" s="2" t="inlineStr"/>
      <c r="L103" s="2" t="inlineStr"/>
      <c r="M103" s="2" t="inlineStr">
        <is>
          <t>P0</t>
        </is>
      </c>
      <c r="N103" s="4" t="inlineStr">
        <is>
          <t>Major</t>
        </is>
      </c>
      <c r="O103" s="2" t="inlineStr"/>
      <c r="P103" s="2" t="inlineStr"/>
      <c r="Q103" s="2" t="inlineStr">
        <is>
          <t>S4</t>
        </is>
      </c>
    </row>
    <row r="104">
      <c r="A104" s="2" t="inlineStr">
        <is>
          <t>EPIC-02</t>
        </is>
      </c>
      <c r="B104" s="2" t="inlineStr">
        <is>
          <t>TC-CEPA-023-002</t>
        </is>
      </c>
      <c r="C104" s="2" t="inlineStr">
        <is>
          <t>Functional</t>
        </is>
      </c>
      <c r="D104" s="2" t="inlineStr">
        <is>
          <t>Validación detalle de esquema</t>
        </is>
      </c>
      <c r="E104" s="2" t="inlineStr">
        <is>
          <t>Seguimiento de tratamiento</t>
        </is>
      </c>
      <c r="F104" s="2" t="inlineStr">
        <is>
          <t>Verificar que al marcar 'cambio de esquema = Sí' el sistema exige el detalle del nuevo esquema antes de confirmar el guardado.</t>
        </is>
      </c>
      <c r="G104" s="2" t="inlineStr">
        <is>
          <t>Web</t>
        </is>
      </c>
      <c r="H104" s="2" t="inlineStr">
        <is>
          <t>Usuario administrativo autenticado; registro farmacológico existente para el folio 12345; formulario de seguimiento abierto.</t>
        </is>
      </c>
      <c r="I104" s="2" t="inlineStr">
        <is>
          <t>1. Marcar 'Cambio de esquema' = Sí. 2. Dejar vacío el campo de detalle del nuevo esquema. 3. Hacer clic en 'Guardar'.</t>
        </is>
      </c>
      <c r="J104" s="2" t="inlineStr">
        <is>
          <t>El sistema muestra un error indicando que el detalle del nuevo esquema es obligatorio cuando la bandera está en Sí y no confirma el guardado hasta que se ingrese el detalle (que debería reflejarse en el esquema farmacológico de CEPA-021).</t>
        </is>
      </c>
      <c r="K104" s="2" t="inlineStr"/>
      <c r="L104" s="2" t="inlineStr"/>
      <c r="M104" s="2" t="inlineStr">
        <is>
          <t>P0</t>
        </is>
      </c>
      <c r="N104" s="4" t="inlineStr">
        <is>
          <t>Major</t>
        </is>
      </c>
      <c r="O104" s="2" t="inlineStr"/>
      <c r="P104" s="2" t="inlineStr"/>
      <c r="Q104" s="2" t="inlineStr">
        <is>
          <t>S4</t>
        </is>
      </c>
    </row>
    <row r="105">
      <c r="A105" s="2" t="inlineStr">
        <is>
          <t>EPIC-02</t>
        </is>
      </c>
      <c r="B105" s="2" t="inlineStr">
        <is>
          <t>TC-CEPA-023-003</t>
        </is>
      </c>
      <c r="C105" s="2" t="inlineStr">
        <is>
          <t>Functional</t>
        </is>
      </c>
      <c r="D105" s="2" t="inlineStr">
        <is>
          <t>Seguimiento sin banderas activas</t>
        </is>
      </c>
      <c r="E105" s="2" t="inlineStr">
        <is>
          <t>Seguimiento de tratamiento</t>
        </is>
      </c>
      <c r="F105" s="2" t="inlineStr">
        <is>
          <t>Verificar que un seguimiento con banderas en 'No' y solo observaciones se guarda sin exigir detalles adicionales, queda vinculado al folio y es visible desde Ingresos.</t>
        </is>
      </c>
      <c r="G105" s="2" t="inlineStr">
        <is>
          <t>Web</t>
        </is>
      </c>
      <c r="H105" s="2" t="inlineStr">
        <is>
          <t>Usuario administrativo autenticado; registro farmacológico existente para el folio 12345; formulario de seguimiento abierto.</t>
        </is>
      </c>
      <c r="I105" s="2" t="inlineStr">
        <is>
          <t>1. Marcar 'Disminución de fármacos' = No. 2. Marcar 'Cambio de esquema' = No. 3. Ingresar en observaciones: 'Paciente estable, mantiene adherencia al tratamiento'. 4. Hacer clic en 'Guardar'. 5. Navegar al módulo de Ingresos y abrir la vista del folio 12345.</t>
        </is>
      </c>
      <c r="J105" s="2" t="inlineStr">
        <is>
          <t>El seguimiento se guarda sin exigir plan de disminución ni detalle de esquema, queda vinculado al folio 12345 y es visible desde la vista del folio en el módulo de Ingresos.</t>
        </is>
      </c>
      <c r="K105" s="2" t="inlineStr"/>
      <c r="L105" s="2" t="inlineStr"/>
      <c r="M105" s="2" t="inlineStr">
        <is>
          <t>P0</t>
        </is>
      </c>
      <c r="N105" s="3" t="inlineStr">
        <is>
          <t>Critical</t>
        </is>
      </c>
      <c r="O105" s="2" t="inlineStr"/>
      <c r="P105" s="2" t="inlineStr"/>
      <c r="Q105" s="2" t="inlineStr">
        <is>
          <t>S1</t>
        </is>
      </c>
    </row>
    <row r="106">
      <c r="A106" s="2" t="inlineStr">
        <is>
          <t>EPIC-02</t>
        </is>
      </c>
      <c r="B106" s="2" t="inlineStr">
        <is>
          <t>TC-CEPA-023-004</t>
        </is>
      </c>
      <c r="C106" s="2" t="inlineStr">
        <is>
          <t>Business Rules</t>
        </is>
      </c>
      <c r="D106" s="2" t="inlineStr">
        <is>
          <t>Registro con plan de disminución</t>
        </is>
      </c>
      <c r="E106" s="2" t="inlineStr">
        <is>
          <t>Seguimiento de tratamiento</t>
        </is>
      </c>
      <c r="F106" s="2" t="inlineStr">
        <is>
          <t>Verificar el flujo positivo del seguimiento: disminución = Sí con plan informado, cambio = No y observaciones se guardan correctamente vinculados al folio.</t>
        </is>
      </c>
      <c r="G106" s="2" t="inlineStr">
        <is>
          <t>Web</t>
        </is>
      </c>
      <c r="H106" s="2" t="inlineStr">
        <is>
          <t>Usuario administrativo autenticado; registro farmacológico existente para el folio 12345; formulario de seguimiento abierto.</t>
        </is>
      </c>
      <c r="I106" s="2" t="inlineStr">
        <is>
          <t>1. Marcar 'Disminución de fármacos' = Sí. 2. Ingresar el plan de disminución: 'Bajar 25 mg por semana durante 4 semanas'. 3. Marcar 'Cambio de esquema' = No. 4. Ingresar observaciones: 'Evolución favorable'. 5. Hacer clic en 'Guardar'.</t>
        </is>
      </c>
      <c r="J106" s="2" t="inlineStr">
        <is>
          <t>El seguimiento se guarda con el plan de disminución registrado, queda vinculado al folio 12345 y muestra todos los valores ingresados al reabrirlo.</t>
        </is>
      </c>
      <c r="K106" s="2" t="inlineStr"/>
      <c r="L106" s="2" t="inlineStr"/>
      <c r="M106" s="2" t="inlineStr">
        <is>
          <t>P0</t>
        </is>
      </c>
      <c r="N106" s="3" t="inlineStr">
        <is>
          <t>Critical</t>
        </is>
      </c>
      <c r="O106" s="2" t="inlineStr"/>
      <c r="P106" s="2" t="inlineStr"/>
      <c r="Q106" s="2" t="inlineStr">
        <is>
          <t>BR-1</t>
        </is>
      </c>
    </row>
    <row r="107">
      <c r="A107" s="2" t="inlineStr">
        <is>
          <t>EPIC-02</t>
        </is>
      </c>
      <c r="B107" s="2" t="inlineStr">
        <is>
          <t>TC-CEPA-023-005</t>
        </is>
      </c>
      <c r="C107" s="2" t="inlineStr">
        <is>
          <t>Security</t>
        </is>
      </c>
      <c r="D107" s="2" t="inlineStr">
        <is>
          <t>RBAC</t>
        </is>
      </c>
      <c r="E107" s="2" t="inlineStr">
        <is>
          <t>Control de acceso por perfil (RBAC)</t>
        </is>
      </c>
      <c r="F107" s="2" t="inlineStr">
        <is>
          <t>Verificar que el perfil Auditor no puede crear ni editar seguimientos de tratamiento y solo accede en modo lectura.</t>
        </is>
      </c>
      <c r="G107" s="2" t="inlineStr">
        <is>
          <t>Web/API</t>
        </is>
      </c>
      <c r="H107" s="2" t="inlineStr">
        <is>
          <t>Usuario con perfil Auditor autenticado; seguimiento existente para el folio 12345.</t>
        </is>
      </c>
      <c r="I107" s="2" t="inlineStr">
        <is>
          <t>1. Abrir la sección de seguimiento del folio 12345 con sesión Auditor. 2. Verificar la ausencia de acciones de creación/edición del seguimiento. 3. Enviar vía API un POST/PUT al endpoint de seguimiento con el token del Auditor.</t>
        </is>
      </c>
      <c r="J107" s="2" t="inlineStr">
        <is>
          <t>La UI del Auditor muestra el seguimiento en solo lectura sin acciones de edición; las peticiones de escritura vía API son rechazadas con 403 Forbidden.</t>
        </is>
      </c>
      <c r="K107" s="2" t="inlineStr"/>
      <c r="L107" s="2" t="inlineStr"/>
      <c r="M107" s="2" t="inlineStr">
        <is>
          <t>P0</t>
        </is>
      </c>
      <c r="N107" s="3" t="inlineStr">
        <is>
          <t>Critical</t>
        </is>
      </c>
      <c r="O107" s="2" t="inlineStr"/>
      <c r="P107" s="2" t="inlineStr"/>
      <c r="Q107" s="2" t="inlineStr">
        <is>
          <t>BR-5</t>
        </is>
      </c>
    </row>
    <row r="108">
      <c r="A108" s="2" t="inlineStr">
        <is>
          <t>EPIC-02</t>
        </is>
      </c>
      <c r="B108" s="2" t="inlineStr">
        <is>
          <t>TC-CEPA-023-006</t>
        </is>
      </c>
      <c r="C108" s="2" t="inlineStr">
        <is>
          <t>Business Rules</t>
        </is>
      </c>
      <c r="D108" s="2" t="inlineStr">
        <is>
          <t>Auditoría de operaciones</t>
        </is>
      </c>
      <c r="E108" s="2" t="inlineStr">
        <is>
          <t>Log de auditoría</t>
        </is>
      </c>
      <c r="F108" s="2" t="inlineStr">
        <is>
          <t>Verificar que las operaciones CRUD sobre el seguimiento de tratamiento quedan registradas en el log de auditoría con quién, qué y cuándo.</t>
        </is>
      </c>
      <c r="G108" s="2" t="inlineStr">
        <is>
          <t>Web/API</t>
        </is>
      </c>
      <c r="H108" s="2" t="inlineStr">
        <is>
          <t>Usuario administrativo 'aperez' autenticado; registro farmacológico existente para el folio 12345.</t>
        </is>
      </c>
      <c r="I108" s="2" t="inlineStr">
        <is>
          <t>1. Crear un seguimiento para el folio 12345 (disminución = No, cambio = No, observación libre). 2. Editar el seguimiento marcando disminución = Sí con plan 'Bajar 25 mg/semana'. 3. Consultar el log de auditoría filtrando por el folio 12345.</t>
        </is>
      </c>
      <c r="J108" s="2" t="inlineStr">
        <is>
          <t>El log contiene una entrada por cada operación (creación y edición del seguimiento) con usuario 'aperez', detalle de los cambios y fecha/hora.</t>
        </is>
      </c>
      <c r="K108" s="2" t="inlineStr"/>
      <c r="L108" s="2" t="inlineStr"/>
      <c r="M108" s="2" t="inlineStr">
        <is>
          <t>P0</t>
        </is>
      </c>
      <c r="N108" s="4" t="inlineStr">
        <is>
          <t>Major</t>
        </is>
      </c>
      <c r="O108" s="2" t="inlineStr"/>
      <c r="P108" s="2" t="inlineStr"/>
      <c r="Q108" s="2" t="inlineStr">
        <is>
          <t>BR-6</t>
        </is>
      </c>
    </row>
    <row r="109">
      <c r="A109" s="2" t="inlineStr">
        <is>
          <t>EPIC-02</t>
        </is>
      </c>
      <c r="B109" s="2" t="inlineStr">
        <is>
          <t>TC-CEPA-023-007</t>
        </is>
      </c>
      <c r="C109" s="2" t="inlineStr">
        <is>
          <t>Data Integrity</t>
        </is>
      </c>
      <c r="D109" s="2" t="inlineStr">
        <is>
          <t>Catálogos cerrados SI/NO</t>
        </is>
      </c>
      <c r="E109" s="2" t="inlineStr">
        <is>
          <t>Modelo de datos del seguimiento</t>
        </is>
      </c>
      <c r="F109" s="2" t="inlineStr">
        <is>
          <t>Verificar que las columnas de seguimiento de la hoja 'Gestión de Fármacos' (OBSERVACIONES, DISMINUCION DE FARMACOS SI/NO, CAMBIO DE ESQUEMA SI/NO) se capturan en el módulo y que las banderas SI/NO son catálogos cerrados.</t>
        </is>
      </c>
      <c r="G109" s="2" t="inlineStr">
        <is>
          <t>Web</t>
        </is>
      </c>
      <c r="H109" s="2" t="inlineStr">
        <is>
          <t>Usuario administrativo autenticado; registro farmacológico existente para el folio 12345; formulario de seguimiento abierto.</t>
        </is>
      </c>
      <c r="I109" s="2" t="inlineStr">
        <is>
          <t>1. Verificar la existencia de los campos OBSERVACIONES (texto libre), 'Disminución de fármacos' y 'Cambio de esquema'. 2. Abrir el control 'Disminución de fármacos' y revisar sus valores disponibles. 3. Abrir el control 'Cambio de esquema' y revisar sus valores disponibles. 4. Intentar ingresar un valor de texto libre (ej. 'Tal vez') en ambas banderas vía UI y vía API.</t>
        </is>
      </c>
      <c r="J109" s="2" t="inlineStr">
        <is>
          <t>Los 3 campos de la hoja original existen en el módulo; 'Disminución de fármacos' y 'Cambio de esquema' son catálogos cerrados que solo aceptan Sí/No (sin texto libre); la API rechaza valores fuera del catálogo con error de validación; OBSERVACIONES acepta texto libre opcional.</t>
        </is>
      </c>
      <c r="K109" s="2" t="inlineStr"/>
      <c r="L109" s="2" t="inlineStr"/>
      <c r="M109" s="2" t="inlineStr">
        <is>
          <t>P0</t>
        </is>
      </c>
      <c r="N109" s="4" t="inlineStr">
        <is>
          <t>Major</t>
        </is>
      </c>
      <c r="O109" s="2" t="inlineStr"/>
      <c r="P109" s="2" t="inlineStr"/>
      <c r="Q109" s="2" t="inlineStr">
        <is>
          <t>PLANILLA</t>
        </is>
      </c>
    </row>
    <row r="110">
      <c r="A110" s="2" t="inlineStr">
        <is>
          <t>EPIC-03</t>
        </is>
      </c>
      <c r="B110" s="2" t="inlineStr">
        <is>
          <t>TC-CEPA-030-001</t>
        </is>
      </c>
      <c r="C110" s="2" t="inlineStr">
        <is>
          <t>Functional</t>
        </is>
      </c>
      <c r="D110" s="2" t="inlineStr">
        <is>
          <t>Registro de caso EPT</t>
        </is>
      </c>
      <c r="E110" s="2" t="inlineStr">
        <is>
          <t>Formulario de caso EPT</t>
        </is>
      </c>
      <c r="F110" s="2" t="inlineStr">
        <is>
          <t>Verificar que el administrativo puede crear un caso EPT completando los campos obligatorios y que queda visible en listado, búsquedas y log de auditoría.</t>
        </is>
      </c>
      <c r="G110" s="2" t="inlineStr">
        <is>
          <t>Web</t>
        </is>
      </c>
      <c r="H110" s="2" t="inlineStr">
        <is>
          <t>Usuario Administrativo autenticado; folio de paciente existente en módulo de Ingresos; catálogo de factores de riesgo disponible.</t>
        </is>
      </c>
      <c r="I110" s="2" t="inlineStr">
        <is>
          <t>1. Navegar al módulo Seguimiento EPT y hacer clic en 'Nuevo caso EPT'. 2. Ingresar folio vinculado (F-2026-0451), mes (Julio 2026) y fecha de ingreso (01/07/2026). 3. Ingresar nombre 'María Soto Pérez', RUT 12.345.678-5 y región 'Maule'. 4. Seleccionar EISTA/evaluador asignado 'J. Rojas' y factor de riesgo 'Factores psicosociales'. 5. Marcar 'Corresponde EPT' = Sí. 6. Registrar datos del empleador: razón social, unidad, cargo, horario y 2 correos de coordinación. 7. Hacer clic en 'Guardar'. 8. Buscar el caso en el listado por folio y por RUT. 9. Consultar el log de auditoría del caso.</t>
        </is>
      </c>
      <c r="J110" s="2" t="inlineStr">
        <is>
          <t>El sistema crea el caso EPT sin errores; el caso aparece en el listado y en las búsquedas por folio y RUT; el log de auditoría registra la creación con usuario, operación y fecha/hora.</t>
        </is>
      </c>
      <c r="K110" s="2" t="inlineStr"/>
      <c r="L110" s="2" t="inlineStr"/>
      <c r="M110" s="2" t="inlineStr">
        <is>
          <t>P0</t>
        </is>
      </c>
      <c r="N110" s="3" t="inlineStr">
        <is>
          <t>Critical</t>
        </is>
      </c>
      <c r="O110" s="2" t="inlineStr"/>
      <c r="P110" s="2" t="inlineStr"/>
      <c r="Q110" s="2" t="inlineStr">
        <is>
          <t>S1</t>
        </is>
      </c>
    </row>
    <row r="111">
      <c r="A111" s="2" t="inlineStr">
        <is>
          <t>EPIC-03</t>
        </is>
      </c>
      <c r="B111" s="2" t="inlineStr">
        <is>
          <t>TC-CEPA-030-002</t>
        </is>
      </c>
      <c r="C111" s="2" t="inlineStr">
        <is>
          <t>Functional</t>
        </is>
      </c>
      <c r="D111" s="2" t="inlineStr">
        <is>
          <t>Validación RUT</t>
        </is>
      </c>
      <c r="E111" s="2" t="inlineStr">
        <is>
          <t>Validador de RUT</t>
        </is>
      </c>
      <c r="F111" s="2" t="inlineStr">
        <is>
          <t>Verificar que el sistema rechaza un RUT de trabajador con dígito verificador inválido, muestra error específico y conserva los demás datos ingresados.</t>
        </is>
      </c>
      <c r="G111" s="2" t="inlineStr">
        <is>
          <t>Web</t>
        </is>
      </c>
      <c r="H111" s="2" t="inlineStr">
        <is>
          <t>Usuario Administrativo autenticado en el formulario de nuevo caso EPT con los demás campos obligatorios ya completados.</t>
        </is>
      </c>
      <c r="I111" s="2" t="inlineStr">
        <is>
          <t>1. Ingresar en el campo RUT del trabajador el valor 12.345.678-0 (dígito verificador inválido). 2. Hacer clic en 'Guardar'. 3. Observar el mensaje mostrado junto al campo RUT. 4. Revisar los valores de los demás campos del formulario.</t>
        </is>
      </c>
      <c r="J111" s="2" t="inlineStr">
        <is>
          <t>El sistema muestra un mensaje de error específico de RUT inválido, no permite guardar el caso y conserva intactos los demás datos ya ingresados en el formulario.</t>
        </is>
      </c>
      <c r="K111" s="2" t="inlineStr"/>
      <c r="L111" s="2" t="inlineStr"/>
      <c r="M111" s="2" t="inlineStr">
        <is>
          <t>P0</t>
        </is>
      </c>
      <c r="N111" s="4" t="inlineStr">
        <is>
          <t>Major</t>
        </is>
      </c>
      <c r="O111" s="2" t="inlineStr"/>
      <c r="P111" s="2" t="inlineStr"/>
      <c r="Q111" s="2" t="inlineStr">
        <is>
          <t>S4</t>
        </is>
      </c>
    </row>
    <row r="112">
      <c r="A112" s="2" t="inlineStr">
        <is>
          <t>EPIC-03</t>
        </is>
      </c>
      <c r="B112" s="2" t="inlineStr">
        <is>
          <t>TC-CEPA-030-003</t>
        </is>
      </c>
      <c r="C112" s="2" t="inlineStr">
        <is>
          <t>Functional</t>
        </is>
      </c>
      <c r="D112" s="2" t="inlineStr">
        <is>
          <t>Correos de coordinación</t>
        </is>
      </c>
      <c r="E112" s="2" t="inlineStr">
        <is>
          <t>Datos del empleador EPT</t>
        </is>
      </c>
      <c r="F112" s="2" t="inlineStr">
        <is>
          <t>Verificar que en los correos de coordinación EPT del empleador el sistema permite hasta 2 contactos, valida formato de correo y rechaza un tercer contacto.</t>
        </is>
      </c>
      <c r="G112" s="2" t="inlineStr">
        <is>
          <t>Web</t>
        </is>
      </c>
      <c r="H112" s="2" t="inlineStr">
        <is>
          <t>Usuario Administrativo autenticado editando la sección de datos del empleador de un caso EPT.</t>
        </is>
      </c>
      <c r="I112" s="2" t="inlineStr">
        <is>
          <t>1. Agregar el correo de coordinación 1: coordinacion.ept@empresa.cl. 2. Agregar el correo de coordinación 2: rrhh@empresa.cl. 3. Intentar agregar un tercer correo: gerencia@empresa.cl. 4. Reemplazar el correo 2 por el valor sin formato válido 'rrhh-empresa' y hacer clic en 'Guardar'.</t>
        </is>
      </c>
      <c r="J112" s="2" t="inlineStr">
        <is>
          <t>Los dos primeros correos se aceptan; el sistema rechaza el tercer contacto indicando el máximo de 2; el valor sin formato de correo válido es rechazado con mensaje de validación.</t>
        </is>
      </c>
      <c r="K112" s="2" t="inlineStr"/>
      <c r="L112" s="2" t="inlineStr"/>
      <c r="M112" s="2" t="inlineStr">
        <is>
          <t>P0</t>
        </is>
      </c>
      <c r="N112" s="5" t="inlineStr">
        <is>
          <t>Medium</t>
        </is>
      </c>
      <c r="O112" s="2" t="inlineStr"/>
      <c r="P112" s="2" t="inlineStr"/>
      <c r="Q112" s="2" t="inlineStr">
        <is>
          <t>S4</t>
        </is>
      </c>
    </row>
    <row r="113">
      <c r="A113" s="2" t="inlineStr">
        <is>
          <t>EPIC-03</t>
        </is>
      </c>
      <c r="B113" s="2" t="inlineStr">
        <is>
          <t>TC-CEPA-030-004</t>
        </is>
      </c>
      <c r="C113" s="2" t="inlineStr">
        <is>
          <t>Business Rules</t>
        </is>
      </c>
      <c r="D113" s="2" t="inlineStr">
        <is>
          <t>Corresponde EPT = No</t>
        </is>
      </c>
      <c r="E113" s="2" t="inlineStr">
        <is>
          <t>Flujo Corresponde EPT</t>
        </is>
      </c>
      <c r="F113" s="2" t="inlineStr">
        <is>
          <t>Verificar que al marcar 'Corresponde EPT' = No el caso queda como 'No corresponde EPT' y puede cerrarse sin exigir datos de gestión del proceso ni plazos.</t>
        </is>
      </c>
      <c r="G113" s="2" t="inlineStr">
        <is>
          <t>Web</t>
        </is>
      </c>
      <c r="H113" s="2" t="inlineStr">
        <is>
          <t>Usuario Administrativo autenticado en el formulario de caso EPT con los datos base del caso y del empleador completados.</t>
        </is>
      </c>
      <c r="I113" s="2" t="inlineStr">
        <is>
          <t>1. En el campo 'Corresponde EPT' seleccionar 'No'. 2. Hacer clic en 'Guardar' sin completar datos de gestión del proceso (plazos, testigos, entrevistas). 3. Abrir el caso guardado y ejecutar la acción de cierre. 4. Verificar el estado mostrado en el listado.</t>
        </is>
      </c>
      <c r="J113" s="2" t="inlineStr">
        <is>
          <t>El caso se guarda registrado como 'No corresponde EPT'; el sistema permite cerrarlo sin exigir los datos de gestión del proceso (CEPA-031) ni plazos (CEPA-032).</t>
        </is>
      </c>
      <c r="K113" s="2" t="inlineStr"/>
      <c r="L113" s="2" t="inlineStr"/>
      <c r="M113" s="2" t="inlineStr">
        <is>
          <t>P0</t>
        </is>
      </c>
      <c r="N113" s="4" t="inlineStr">
        <is>
          <t>Major</t>
        </is>
      </c>
      <c r="O113" s="2" t="inlineStr"/>
      <c r="P113" s="2" t="inlineStr"/>
      <c r="Q113" s="2" t="inlineStr">
        <is>
          <t>S2</t>
        </is>
      </c>
    </row>
    <row r="114">
      <c r="A114" s="2" t="inlineStr">
        <is>
          <t>EPIC-03</t>
        </is>
      </c>
      <c r="B114" s="2" t="inlineStr">
        <is>
          <t>TC-CEPA-030-005</t>
        </is>
      </c>
      <c r="C114" s="2" t="inlineStr">
        <is>
          <t>Security</t>
        </is>
      </c>
      <c r="D114" s="2" t="inlineStr">
        <is>
          <t>RBAC</t>
        </is>
      </c>
      <c r="E114" s="2" t="inlineStr">
        <is>
          <t>Control de acceso caso EPT</t>
        </is>
      </c>
      <c r="F114" s="2" t="inlineStr">
        <is>
          <t>Verificar que los perfiles Auditor y Coordinación visualizan el caso EPT completo en modo solo lectura, sin opciones de edición.</t>
        </is>
      </c>
      <c r="G114" s="2" t="inlineStr">
        <is>
          <t>Web/API</t>
        </is>
      </c>
      <c r="H114" s="2" t="inlineStr">
        <is>
          <t>Caso EPT existente con datos completos; usuarios con perfiles Auditor y Coordinación autenticados.</t>
        </is>
      </c>
      <c r="I114" s="2" t="inlineStr">
        <is>
          <t>1. Iniciar sesión con perfil Auditor. 2. Abrir el caso EPT desde el listado. 3. Revisar la disponibilidad de botones/acciones de edición y guardado. 4. Enviar vía API un PUT a /api/v1/ept/casos/{id} con el token de Auditor. 5. Repetir los pasos 1-4 con perfil Coordinación.</t>
        </is>
      </c>
      <c r="J114" s="2" t="inlineStr">
        <is>
          <t>Ambos perfiles visualizan todos los datos del caso en solo lectura; no se muestran opciones de edición; la petición API de modificación es rechazada con 403 Forbidden.</t>
        </is>
      </c>
      <c r="K114" s="2" t="inlineStr"/>
      <c r="L114" s="2" t="inlineStr"/>
      <c r="M114" s="2" t="inlineStr">
        <is>
          <t>P0</t>
        </is>
      </c>
      <c r="N114" s="3" t="inlineStr">
        <is>
          <t>Critical</t>
        </is>
      </c>
      <c r="O114" s="2" t="inlineStr"/>
      <c r="P114" s="2" t="inlineStr"/>
      <c r="Q114" s="2" t="inlineStr">
        <is>
          <t>S3</t>
        </is>
      </c>
    </row>
    <row r="115">
      <c r="A115" s="2" t="inlineStr">
        <is>
          <t>EPIC-03</t>
        </is>
      </c>
      <c r="B115" s="2" t="inlineStr">
        <is>
          <t>TC-CEPA-030-006</t>
        </is>
      </c>
      <c r="C115" s="2" t="inlineStr">
        <is>
          <t>Business Rules</t>
        </is>
      </c>
      <c r="D115" s="2" t="inlineStr">
        <is>
          <t>Campos obligatorios</t>
        </is>
      </c>
      <c r="E115" s="2" t="inlineStr">
        <is>
          <t>Validador de campos obligatorios</t>
        </is>
      </c>
      <c r="F115" s="2" t="inlineStr">
        <is>
          <t>Verificar que el sistema bloquea el guardado del caso EPT cuando falta un campo obligatorio (factor de riesgo) e indica el campo faltante.</t>
        </is>
      </c>
      <c r="G115" s="2" t="inlineStr">
        <is>
          <t>Web</t>
        </is>
      </c>
      <c r="H115" s="2" t="inlineStr">
        <is>
          <t>Usuario Administrativo autenticado en el formulario de nuevo caso EPT.</t>
        </is>
      </c>
      <c r="I115" s="2" t="inlineStr">
        <is>
          <t>1. Completar folio, mes, fecha de ingreso, nombre 'María Soto Pérez', RUT 12.345.678-5, región 'Maule' y EISTA 'J. Rojas'. 2. Dejar vacío el campo 'Factor de riesgo'. 3. Hacer clic en 'Guardar'. 4. Repetir dejando vacío el campo 'Corresponde EPT' con factor de riesgo completado.</t>
        </is>
      </c>
      <c r="J115" s="2" t="inlineStr">
        <is>
          <t>En ambos intentos la validación bloquea el guardado e indica de forma explícita el campo obligatorio faltante; el caso no se crea.</t>
        </is>
      </c>
      <c r="K115" s="2" t="inlineStr"/>
      <c r="L115" s="2" t="inlineStr"/>
      <c r="M115" s="2" t="inlineStr">
        <is>
          <t>P0</t>
        </is>
      </c>
      <c r="N115" s="4" t="inlineStr">
        <is>
          <t>Major</t>
        </is>
      </c>
      <c r="O115" s="2" t="inlineStr"/>
      <c r="P115" s="2" t="inlineStr"/>
      <c r="Q115" s="2" t="inlineStr">
        <is>
          <t>BR-1</t>
        </is>
      </c>
    </row>
    <row r="116">
      <c r="A116" s="2" t="inlineStr">
        <is>
          <t>EPIC-03</t>
        </is>
      </c>
      <c r="B116" s="2" t="inlineStr">
        <is>
          <t>TC-CEPA-030-007</t>
        </is>
      </c>
      <c r="C116" s="2" t="inlineStr">
        <is>
          <t>Business Rules</t>
        </is>
      </c>
      <c r="D116" s="2" t="inlineStr">
        <is>
          <t>Vínculo con folio de Ingresos</t>
        </is>
      </c>
      <c r="E116" s="2" t="inlineStr">
        <is>
          <t>Vinculación de folios</t>
        </is>
      </c>
      <c r="F116" s="2" t="inlineStr">
        <is>
          <t>Verificar que el folio del caso EPT se vincula a un folio existente del módulo de Ingresos y que un caso EPT pertenece a un único folio.</t>
        </is>
      </c>
      <c r="G116" s="2" t="inlineStr">
        <is>
          <t>Web/API</t>
        </is>
      </c>
      <c r="H116" s="2" t="inlineStr">
        <is>
          <t>Usuario Administrativo autenticado; folio F-2026-0451 existente en módulo de Ingresos; folio F-9999-9999 inexistente.</t>
        </is>
      </c>
      <c r="I116" s="2" t="inlineStr">
        <is>
          <t>1. Crear un caso EPT ingresando el folio existente F-2026-0451 y guardar. 2. Abrir el caso creado y verificar la referencia al caso de Ingresos. 3. Intentar crear un caso EPT con el folio inexistente F-9999-9999 y guardar. 4. Intentar asociar al caso EPT creado un segundo folio.</t>
        </is>
      </c>
      <c r="J116" s="2" t="inlineStr">
        <is>
          <t>El caso EPT queda vinculado al folio existente de Ingresos; el sistema rechaza el folio inexistente; no es posible asociar más de un folio a un mismo caso EPT.</t>
        </is>
      </c>
      <c r="K116" s="2" t="inlineStr"/>
      <c r="L116" s="2" t="inlineStr"/>
      <c r="M116" s="2" t="inlineStr">
        <is>
          <t>P0</t>
        </is>
      </c>
      <c r="N116" s="4" t="inlineStr">
        <is>
          <t>Major</t>
        </is>
      </c>
      <c r="O116" s="2" t="inlineStr"/>
      <c r="P116" s="2" t="inlineStr"/>
      <c r="Q116" s="2" t="inlineStr">
        <is>
          <t>BR-3</t>
        </is>
      </c>
    </row>
    <row r="117">
      <c r="A117" s="2" t="inlineStr">
        <is>
          <t>EPIC-03</t>
        </is>
      </c>
      <c r="B117" s="2" t="inlineStr">
        <is>
          <t>TC-CEPA-030-008</t>
        </is>
      </c>
      <c r="C117" s="2" t="inlineStr">
        <is>
          <t>Business Rules</t>
        </is>
      </c>
      <c r="D117" s="2" t="inlineStr">
        <is>
          <t>Auditoría de edición</t>
        </is>
      </c>
      <c r="E117" s="2" t="inlineStr">
        <is>
          <t>Log de auditoría</t>
        </is>
      </c>
      <c r="F117" s="2" t="inlineStr">
        <is>
          <t>Verificar que la edición de un caso EPT existente queda registrada en el log de auditoría con quién, qué y cuándo.</t>
        </is>
      </c>
      <c r="G117" s="2" t="inlineStr">
        <is>
          <t>Web</t>
        </is>
      </c>
      <c r="H117" s="2" t="inlineStr">
        <is>
          <t>Caso EPT existente; usuario Administrativo autenticado con permisos de edición.</t>
        </is>
      </c>
      <c r="I117" s="2" t="inlineStr">
        <is>
          <t>1. Abrir el caso EPT existente en modo edición. 2. Modificar el campo 'Región' de 'Maule' a 'Biobío' y el correo de coordinación 1. 3. Hacer clic en 'Guardar'. 4. Consultar el log de auditoría del caso.</t>
        </is>
      </c>
      <c r="J117" s="2" t="inlineStr">
        <is>
          <t>El log de auditoría registra la edición indicando el usuario administrativo, los campos modificados con sus valores y la fecha/hora de la operación.</t>
        </is>
      </c>
      <c r="K117" s="2" t="inlineStr"/>
      <c r="L117" s="2" t="inlineStr"/>
      <c r="M117" s="2" t="inlineStr">
        <is>
          <t>P0</t>
        </is>
      </c>
      <c r="N117" s="4" t="inlineStr">
        <is>
          <t>Major</t>
        </is>
      </c>
      <c r="O117" s="2" t="inlineStr"/>
      <c r="P117" s="2" t="inlineStr"/>
      <c r="Q117" s="2" t="inlineStr">
        <is>
          <t>BR-7</t>
        </is>
      </c>
    </row>
    <row r="118">
      <c r="A118" s="2" t="inlineStr">
        <is>
          <t>EPIC-03</t>
        </is>
      </c>
      <c r="B118" s="2" t="inlineStr">
        <is>
          <t>TC-CEPA-030-009</t>
        </is>
      </c>
      <c r="C118" s="2" t="inlineStr">
        <is>
          <t>Data Integrity</t>
        </is>
      </c>
      <c r="D118" s="2" t="inlineStr">
        <is>
          <t>Cobertura columnas planilla</t>
        </is>
      </c>
      <c r="E118" s="2" t="inlineStr">
        <is>
          <t>Modelo de datos caso EPT</t>
        </is>
      </c>
      <c r="F118" s="2" t="inlineStr">
        <is>
          <t>Verificar que el módulo captura todas las columnas de datos del caso y del empleador de la hoja 'Seguimiento EPT' de la planilla original.</t>
        </is>
      </c>
      <c r="G118" s="2" t="inlineStr">
        <is>
          <t>Web</t>
        </is>
      </c>
      <c r="H118" s="2" t="inlineStr">
        <is>
          <t>Usuario Administrativo autenticado en el formulario de caso EPT; estructura de la hoja 'Seguimiento EPT' (27 columnas) como referencia.</t>
        </is>
      </c>
      <c r="I118" s="2" t="inlineStr">
        <is>
          <t>1. Abrir el formulario de caso EPT. 2. Verificar la existencia de campos para: N° Folio, Mes, Fecha ingreso, Nombre Trabajador, RUT, Región, Epetista (EISTA), EM, EPS, Factor riesgo. 3. Verificar en la sección empleador: Razón social / Servicio, Unidad, Cargo, Horario, Correo coordinación EPT 1 (Empleador) y Correo 2 (Empleador). 4. Completar todos los campos con datos de prueba y guardar. 5. Reabrir el caso y comparar los valores persistidos con los ingresados.</t>
        </is>
      </c>
      <c r="J118" s="2" t="inlineStr">
        <is>
          <t>Todos los campos equivalentes a las columnas de caso y empleador de la hoja 'Seguimiento EPT' existen en el módulo, aceptan los datos y los persisten sin pérdida ni truncamiento.</t>
        </is>
      </c>
      <c r="K118" s="2" t="inlineStr"/>
      <c r="L118" s="2" t="inlineStr"/>
      <c r="M118" s="2" t="inlineStr">
        <is>
          <t>P0</t>
        </is>
      </c>
      <c r="N118" s="4" t="inlineStr">
        <is>
          <t>Major</t>
        </is>
      </c>
      <c r="O118" s="2" t="inlineStr"/>
      <c r="P118" s="2" t="inlineStr"/>
      <c r="Q118" s="2" t="inlineStr">
        <is>
          <t>PLANILLA</t>
        </is>
      </c>
    </row>
    <row r="119">
      <c r="A119" s="2" t="inlineStr">
        <is>
          <t>EPIC-03</t>
        </is>
      </c>
      <c r="B119" s="2" t="inlineStr">
        <is>
          <t>TC-CEPA-031-001</t>
        </is>
      </c>
      <c r="C119" s="2" t="inlineStr">
        <is>
          <t>Functional</t>
        </is>
      </c>
      <c r="D119" s="2" t="inlineStr">
        <is>
          <t>Registro de plazos del proceso</t>
        </is>
      </c>
      <c r="E119" s="2" t="inlineStr">
        <is>
          <t>Gestión del proceso EPT</t>
        </is>
      </c>
      <c r="F119" s="2" t="inlineStr">
        <is>
          <t>Verificar que el administrativo puede registrar el plazo de evidencia del denunciante y el plazo de insumos de la empresa, y que ambos quedan asociados y visibles en la vista del proceso.</t>
        </is>
      </c>
      <c r="G119" s="2" t="inlineStr">
        <is>
          <t>Web</t>
        </is>
      </c>
      <c r="H119" s="2" t="inlineStr">
        <is>
          <t>Caso EPT existente con 'Corresponde EPT' = Sí y fecha de ingreso 01/07/2026; usuario Administrativo autenticado.</t>
        </is>
      </c>
      <c r="I119" s="2" t="inlineStr">
        <is>
          <t>1. Abrir el caso EPT y navegar a la sección 'Gestión del proceso'. 2. Ingresar plazo de evidencia del denunciante: 15/07/2026. 3. Ingresar plazo de insumos de la empresa: 22/07/2026. 4. Hacer clic en 'Guardar'. 5. Reabrir la vista del proceso del caso.</t>
        </is>
      </c>
      <c r="J119" s="2" t="inlineStr">
        <is>
          <t>El sistema guarda ambos plazos asociados al caso y los muestra correctamente en la vista del proceso al reabrirla.</t>
        </is>
      </c>
      <c r="K119" s="2" t="inlineStr"/>
      <c r="L119" s="2" t="inlineStr"/>
      <c r="M119" s="2" t="inlineStr">
        <is>
          <t>P0</t>
        </is>
      </c>
      <c r="N119" s="3" t="inlineStr">
        <is>
          <t>Critical</t>
        </is>
      </c>
      <c r="O119" s="2" t="inlineStr"/>
      <c r="P119" s="2" t="inlineStr"/>
      <c r="Q119" s="2" t="inlineStr">
        <is>
          <t>S1</t>
        </is>
      </c>
    </row>
    <row r="120">
      <c r="A120" s="2" t="inlineStr">
        <is>
          <t>EPIC-03</t>
        </is>
      </c>
      <c r="B120" s="2" t="inlineStr">
        <is>
          <t>TC-CEPA-031-002</t>
        </is>
      </c>
      <c r="C120" s="2" t="inlineStr">
        <is>
          <t>Functional</t>
        </is>
      </c>
      <c r="D120" s="2" t="inlineStr">
        <is>
          <t>Validación testigos</t>
        </is>
      </c>
      <c r="E120" s="2" t="inlineStr">
        <is>
          <t>Registro de testigos</t>
        </is>
      </c>
      <c r="F120" s="2" t="inlineStr">
        <is>
          <t>Verificar que con testigos = Sí el sistema exige cantidad ≥ 1 y que al seleccionar No la cantidad queda en cero y el campo se deshabilita.</t>
        </is>
      </c>
      <c r="G120" s="2" t="inlineStr">
        <is>
          <t>Web</t>
        </is>
      </c>
      <c r="H120" s="2" t="inlineStr">
        <is>
          <t>Caso EPT en gestión con 'Corresponde EPT' = Sí; usuario Administrativo autenticado en la sección de gestión del proceso.</t>
        </is>
      </c>
      <c r="I120" s="2" t="inlineStr">
        <is>
          <t>1. Seleccionar testigos = 'Sí' e ingresar cantidad 0. 2. Hacer clic en 'Guardar'. 3. Corregir la cantidad a 3 y guardar. 4. Cambiar testigos a 'No'. 5. Observar el campo cantidad y guardar.</t>
        </is>
      </c>
      <c r="J120" s="2" t="inlineStr">
        <is>
          <t>Con testigos = Sí y cantidad 0 la validación exige cantidad mayor o igual a 1 y no guarda; con cantidad 3 guarda correctamente; al cambiar a 'No' la cantidad se establece en 0 y el campo queda deshabilitado.</t>
        </is>
      </c>
      <c r="K120" s="2" t="inlineStr"/>
      <c r="L120" s="2" t="inlineStr"/>
      <c r="M120" s="2" t="inlineStr">
        <is>
          <t>P0</t>
        </is>
      </c>
      <c r="N120" s="4" t="inlineStr">
        <is>
          <t>Major</t>
        </is>
      </c>
      <c r="O120" s="2" t="inlineStr"/>
      <c r="P120" s="2" t="inlineStr"/>
      <c r="Q120" s="2" t="inlineStr">
        <is>
          <t>S4</t>
        </is>
      </c>
    </row>
    <row r="121">
      <c r="A121" s="2" t="inlineStr">
        <is>
          <t>EPIC-03</t>
        </is>
      </c>
      <c r="B121" s="2" t="inlineStr">
        <is>
          <t>TC-CEPA-031-003</t>
        </is>
      </c>
      <c r="C121" s="2" t="inlineStr">
        <is>
          <t>Functional</t>
        </is>
      </c>
      <c r="D121" s="2" t="inlineStr">
        <is>
          <t>Validación entrevistas</t>
        </is>
      </c>
      <c r="E121" s="2" t="inlineStr">
        <is>
          <t>Registro de entrevistas</t>
        </is>
      </c>
      <c r="F121" s="2" t="inlineStr">
        <is>
          <t>Verificar que el número de entrevistas realizadas acepta solo enteros mayores o iguales a cero y actualiza el avance del caso.</t>
        </is>
      </c>
      <c r="G121" s="2" t="inlineStr">
        <is>
          <t>Web</t>
        </is>
      </c>
      <c r="H121" s="2" t="inlineStr">
        <is>
          <t>Caso EPT en gestión con 'Corresponde EPT' = Sí; usuario Administrativo autenticado en la sección de gestión del proceso.</t>
        </is>
      </c>
      <c r="I121" s="2" t="inlineStr">
        <is>
          <t>1. Ingresar en 'Número de entrevistas realizadas' el valor -1 y guardar. 2. Ingresar el valor 2,5 (decimal) y guardar. 3. Ingresar el valor 0 y guardar. 4. Ingresar el valor 2 y guardar. 5. Consultar el avance del caso en la vista del proceso.</t>
        </is>
      </c>
      <c r="J121" s="2" t="inlineStr">
        <is>
          <t>Los valores -1 y 2,5 son rechazados exigiendo entero ≥ 0; los valores 0 y 2 se guardan correctamente y el avance del caso se actualiza con el último valor registrado.</t>
        </is>
      </c>
      <c r="K121" s="2" t="inlineStr"/>
      <c r="L121" s="2" t="inlineStr"/>
      <c r="M121" s="2" t="inlineStr">
        <is>
          <t>P0</t>
        </is>
      </c>
      <c r="N121" s="4" t="inlineStr">
        <is>
          <t>Major</t>
        </is>
      </c>
      <c r="O121" s="2" t="inlineStr"/>
      <c r="P121" s="2" t="inlineStr"/>
      <c r="Q121" s="2" t="inlineStr">
        <is>
          <t>S4</t>
        </is>
      </c>
    </row>
    <row r="122">
      <c r="A122" s="2" t="inlineStr">
        <is>
          <t>EPIC-03</t>
        </is>
      </c>
      <c r="B122" s="2" t="inlineStr">
        <is>
          <t>TC-CEPA-031-004</t>
        </is>
      </c>
      <c r="C122" s="2" t="inlineStr">
        <is>
          <t>Functional</t>
        </is>
      </c>
      <c r="D122" s="2" t="inlineStr">
        <is>
          <t>Insumos y observaciones</t>
        </is>
      </c>
      <c r="E122" s="2" t="inlineStr">
        <is>
          <t>Registro de insumos EISTA</t>
        </is>
      </c>
      <c r="F122" s="2" t="inlineStr">
        <is>
          <t>Verificar que el administrativo puede registrar insumos del EISTA / documentos de incumplimiento y observaciones, quedando vinculados al caso con traza de auditoría.</t>
        </is>
      </c>
      <c r="G122" s="2" t="inlineStr">
        <is>
          <t>Web</t>
        </is>
      </c>
      <c r="H122" s="2" t="inlineStr">
        <is>
          <t>Caso EPT en gestión con 'Corresponde EPT' = Sí; usuario Administrativo autenticado.</t>
        </is>
      </c>
      <c r="I122" s="2" t="inlineStr">
        <is>
          <t>1. Abrir la sección 'Gestión del proceso' del caso EPT. 2. Registrar un insumo del EISTA: 'Informe de condiciones ergonómicas puesto cajera'. 3. Registrar un documento de incumplimiento: 'Acta de no entrega de insumos por la empresa'. 4. Agregar la observación 'Empresa solicitó prórroga de 5 días hábiles'. 5. Hacer clic en 'Guardar'. 6. Consultar el log de auditoría del caso.</t>
        </is>
      </c>
      <c r="J122" s="2" t="inlineStr">
        <is>
          <t>Los insumos, documentos de incumplimiento y observaciones quedan guardados y vinculados al folio del caso EPT; el log de auditoría registra la operación con usuario y fecha/hora.</t>
        </is>
      </c>
      <c r="K122" s="2" t="inlineStr"/>
      <c r="L122" s="2" t="inlineStr"/>
      <c r="M122" s="2" t="inlineStr">
        <is>
          <t>P0</t>
        </is>
      </c>
      <c r="N122" s="4" t="inlineStr">
        <is>
          <t>Major</t>
        </is>
      </c>
      <c r="O122" s="2" t="inlineStr"/>
      <c r="P122" s="2" t="inlineStr"/>
      <c r="Q122" s="2" t="inlineStr">
        <is>
          <t>S1</t>
        </is>
      </c>
    </row>
    <row r="123">
      <c r="A123" s="2" t="inlineStr">
        <is>
          <t>EPIC-03</t>
        </is>
      </c>
      <c r="B123" s="2" t="inlineStr">
        <is>
          <t>TC-CEPA-031-005</t>
        </is>
      </c>
      <c r="C123" s="2" t="inlineStr">
        <is>
          <t>Business Rules</t>
        </is>
      </c>
      <c r="D123" s="2" t="inlineStr">
        <is>
          <t>Caso no aplicable a EPT</t>
        </is>
      </c>
      <c r="E123" s="2" t="inlineStr">
        <is>
          <t>Flujo Corresponde EPT</t>
        </is>
      </c>
      <c r="F123" s="2" t="inlineStr">
        <is>
          <t>Verificar que en un caso con 'Corresponde EPT' = No el sistema no exige los datos del proceso y muestra el caso como no aplicable a EPT.</t>
        </is>
      </c>
      <c r="G123" s="2" t="inlineStr">
        <is>
          <t>Web</t>
        </is>
      </c>
      <c r="H123" s="2" t="inlineStr">
        <is>
          <t>Caso EPT existente con 'Corresponde EPT' = No; usuario Administrativo autenticado.</t>
        </is>
      </c>
      <c r="I123" s="2" t="inlineStr">
        <is>
          <t>1. Abrir el caso EPT con 'Corresponde EPT' = No. 2. Intentar acceder a la sección 'Gestión del proceso'. 3. Observar los indicadores/mensajes mostrados y los campos exigidos.</t>
        </is>
      </c>
      <c r="J123" s="2" t="inlineStr">
        <is>
          <t>El sistema no exige los datos de gestión del proceso y muestra el caso identificado como no aplicable a EPT.</t>
        </is>
      </c>
      <c r="K123" s="2" t="inlineStr"/>
      <c r="L123" s="2" t="inlineStr"/>
      <c r="M123" s="2" t="inlineStr">
        <is>
          <t>P0</t>
        </is>
      </c>
      <c r="N123" s="5" t="inlineStr">
        <is>
          <t>Medium</t>
        </is>
      </c>
      <c r="O123" s="2" t="inlineStr"/>
      <c r="P123" s="2" t="inlineStr"/>
      <c r="Q123" s="2" t="inlineStr">
        <is>
          <t>S3</t>
        </is>
      </c>
    </row>
    <row r="124">
      <c r="A124" s="2" t="inlineStr">
        <is>
          <t>EPIC-03</t>
        </is>
      </c>
      <c r="B124" s="2" t="inlineStr">
        <is>
          <t>TC-CEPA-031-006</t>
        </is>
      </c>
      <c r="C124" s="2" t="inlineStr">
        <is>
          <t>Business Rules</t>
        </is>
      </c>
      <c r="D124" s="2" t="inlineStr">
        <is>
          <t>Consistencia de fechas</t>
        </is>
      </c>
      <c r="E124" s="2" t="inlineStr">
        <is>
          <t>Validador de plazos del proceso</t>
        </is>
      </c>
      <c r="F124" s="2" t="inlineStr">
        <is>
          <t>Verificar que el sistema rechaza plazos de evidencia del denunciante o de insumos de la empresa anteriores a la fecha de ingreso del caso.</t>
        </is>
      </c>
      <c r="G124" s="2" t="inlineStr">
        <is>
          <t>Web</t>
        </is>
      </c>
      <c r="H124" s="2" t="inlineStr">
        <is>
          <t>Caso EPT con fecha de ingreso 01/07/2026 y 'Corresponde EPT' = Sí; usuario Administrativo autenticado en la gestión del proceso.</t>
        </is>
      </c>
      <c r="I124" s="2" t="inlineStr">
        <is>
          <t>1. Ingresar plazo de insumos de la empresa: 25/06/2026 (anterior a la fecha de ingreso). 2. Hacer clic en 'Guardar'. 3. Ingresar plazo de evidencia del denunciante: 30/06/2026 (anterior a la fecha de ingreso). 4. Hacer clic en 'Guardar'.</t>
        </is>
      </c>
      <c r="J124" s="2" t="inlineStr">
        <is>
          <t>En ambos casos el sistema rechaza la fecha inconsistente con un mensaje de validación indicando que el plazo no puede ser anterior a la fecha de ingreso del caso; los valores no se guardan.</t>
        </is>
      </c>
      <c r="K124" s="2" t="inlineStr"/>
      <c r="L124" s="2" t="inlineStr"/>
      <c r="M124" s="2" t="inlineStr">
        <is>
          <t>P0</t>
        </is>
      </c>
      <c r="N124" s="5" t="inlineStr">
        <is>
          <t>Medium</t>
        </is>
      </c>
      <c r="O124" s="2" t="inlineStr"/>
      <c r="P124" s="2" t="inlineStr"/>
      <c r="Q124" s="2" t="inlineStr">
        <is>
          <t>BR-4</t>
        </is>
      </c>
    </row>
    <row r="125">
      <c r="A125" s="2" t="inlineStr">
        <is>
          <t>EPIC-03</t>
        </is>
      </c>
      <c r="B125" s="2" t="inlineStr">
        <is>
          <t>TC-CEPA-031-007</t>
        </is>
      </c>
      <c r="C125" s="2" t="inlineStr">
        <is>
          <t>Security</t>
        </is>
      </c>
      <c r="D125" s="2" t="inlineStr">
        <is>
          <t>RBAC</t>
        </is>
      </c>
      <c r="E125" s="2" t="inlineStr">
        <is>
          <t>Control de acceso gestión EPT</t>
        </is>
      </c>
      <c r="F125" s="2" t="inlineStr">
        <is>
          <t>Verificar que Coordinación y Auditor acceden a la gestión del proceso EPT solo en lectura y no pueden editar entrevistas, plazos ni insumos.</t>
        </is>
      </c>
      <c r="G125" s="2" t="inlineStr">
        <is>
          <t>Web/API</t>
        </is>
      </c>
      <c r="H125" s="2" t="inlineStr">
        <is>
          <t>Caso EPT existente con datos de gestión del proceso; usuarios Coordinación y Auditor autenticados.</t>
        </is>
      </c>
      <c r="I125" s="2" t="inlineStr">
        <is>
          <t>1. Iniciar sesión con perfil Coordinación. 2. Abrir la gestión del proceso del caso EPT. 3. Intentar editar el número de entrevistas. 4. Enviar vía API un PUT a /api/v1/ept/casos/{id}/proceso con el token de Coordinación. 5. Repetir los pasos 1-4 con perfil Auditor.</t>
        </is>
      </c>
      <c r="J125" s="2" t="inlineStr">
        <is>
          <t>Ambos perfiles ven la gestión del proceso en solo lectura; la edición de entrevistas no está disponible en la interfaz; la petición API de modificación es rechazada con 403 Forbidden.</t>
        </is>
      </c>
      <c r="K125" s="2" t="inlineStr"/>
      <c r="L125" s="2" t="inlineStr"/>
      <c r="M125" s="2" t="inlineStr">
        <is>
          <t>P0</t>
        </is>
      </c>
      <c r="N125" s="3" t="inlineStr">
        <is>
          <t>Critical</t>
        </is>
      </c>
      <c r="O125" s="2" t="inlineStr"/>
      <c r="P125" s="2" t="inlineStr"/>
      <c r="Q125" s="2" t="inlineStr">
        <is>
          <t>BR-6</t>
        </is>
      </c>
    </row>
    <row r="126">
      <c r="A126" s="2" t="inlineStr">
        <is>
          <t>EPIC-03</t>
        </is>
      </c>
      <c r="B126" s="2" t="inlineStr">
        <is>
          <t>TC-CEPA-031-008</t>
        </is>
      </c>
      <c r="C126" s="2" t="inlineStr">
        <is>
          <t>Data Integrity</t>
        </is>
      </c>
      <c r="D126" s="2" t="inlineStr">
        <is>
          <t>Cobertura columnas planilla</t>
        </is>
      </c>
      <c r="E126" s="2" t="inlineStr">
        <is>
          <t>Modelo de datos gestión EPT</t>
        </is>
      </c>
      <c r="F126" s="2" t="inlineStr">
        <is>
          <t>Verificar que la gestión del proceso captura las columnas operativas de la hoja 'Seguimiento EPT' y que el campo Testigos (SI/NO) se maneja como catálogo cerrado.</t>
        </is>
      </c>
      <c r="G126" s="2" t="inlineStr">
        <is>
          <t>Web</t>
        </is>
      </c>
      <c r="H126" s="2" t="inlineStr">
        <is>
          <t>Caso EPT con 'Corresponde EPT' = Sí; usuario Administrativo autenticado; estructura de la hoja 'Seguimiento EPT' como referencia.</t>
        </is>
      </c>
      <c r="I126" s="2" t="inlineStr">
        <is>
          <t>1. Abrir la sección 'Gestión del proceso' del caso EPT. 2. Verificar la existencia de campos para: Plazo Evidencia denunciante, Plazo para insumos empresa, EP/EC - Testigos (SI/NO) (N°), Insumos EPTista / Doc. incumplimiento, Número de entrevistas y Observaciones. 3. Verificar que el campo Testigos solo ofrece los valores del catálogo cerrado Sí/No (sin texto libre). 4. Completar todos los campos con datos de prueba y guardar. 5. Reabrir la vista y comparar los valores persistidos.</t>
        </is>
      </c>
      <c r="J126" s="2" t="inlineStr">
        <is>
          <t>Todos los campos equivalentes a las columnas operativas de la hoja existen y persisten sin pérdida; Testigos se maneja como catálogo cerrado Sí/No y no admite valores fuera de la lista.</t>
        </is>
      </c>
      <c r="K126" s="2" t="inlineStr"/>
      <c r="L126" s="2" t="inlineStr"/>
      <c r="M126" s="2" t="inlineStr">
        <is>
          <t>P0</t>
        </is>
      </c>
      <c r="N126" s="4" t="inlineStr">
        <is>
          <t>Major</t>
        </is>
      </c>
      <c r="O126" s="2" t="inlineStr"/>
      <c r="P126" s="2" t="inlineStr"/>
      <c r="Q126" s="2" t="inlineStr">
        <is>
          <t>PLANILLA</t>
        </is>
      </c>
    </row>
    <row r="127">
      <c r="A127" s="2" t="inlineStr">
        <is>
          <t>EPIC-03</t>
        </is>
      </c>
      <c r="B127" s="2" t="inlineStr">
        <is>
          <t>TC-CEPA-032-001</t>
        </is>
      </c>
      <c r="C127" s="2" t="inlineStr">
        <is>
          <t>Functional</t>
        </is>
      </c>
      <c r="D127" s="2" t="inlineStr">
        <is>
          <t>Registro de plazos regulatorios</t>
        </is>
      </c>
      <c r="E127" s="2" t="inlineStr">
        <is>
          <t>Motor de plazos ISL</t>
        </is>
      </c>
      <c r="F127" s="2" t="inlineStr">
        <is>
          <t>Verificar que el administrativo puede registrar el plazo de informe EPT, el plazo del portal ISL y la fecha de entrega ISL, y que el sistema calcula el estado de cumplimiento.</t>
        </is>
      </c>
      <c r="G127" s="2" t="inlineStr">
        <is>
          <t>Web</t>
        </is>
      </c>
      <c r="H127" s="2" t="inlineStr">
        <is>
          <t>Caso EPT con 'Corresponde EPT' = Sí y fecha de ingreso 01/07/2026; usuario Administrativo autenticado; fecha actual 02/07/2026.</t>
        </is>
      </c>
      <c r="I127" s="2" t="inlineStr">
        <is>
          <t>1. Abrir la sección de plazos del caso EPT. 2. Ingresar plazo de informe EPT: 31/07/2026. 3. Ingresar plazo del portal ISL: 05/08/2026. 4. Ingresar fecha de entrega ISL: 08/08/2026. 5. Hacer clic en 'Guardar'. 6. Consultar el estado de cumplimiento calculado para cada hito.</t>
        </is>
      </c>
      <c r="J127" s="2" t="inlineStr">
        <is>
          <t>Los tres plazos se guardan correctamente y el sistema calcula y muestra el estado de cumplimiento 'en plazo' para cada hito (fechas objetivo futuras).</t>
        </is>
      </c>
      <c r="K127" s="2" t="inlineStr"/>
      <c r="L127" s="2" t="inlineStr"/>
      <c r="M127" s="2" t="inlineStr">
        <is>
          <t>P0</t>
        </is>
      </c>
      <c r="N127" s="3" t="inlineStr">
        <is>
          <t>Critical</t>
        </is>
      </c>
      <c r="O127" s="2" t="inlineStr"/>
      <c r="P127" s="2" t="inlineStr"/>
      <c r="Q127" s="2" t="inlineStr">
        <is>
          <t>S1</t>
        </is>
      </c>
    </row>
    <row r="128">
      <c r="A128" s="2" t="inlineStr">
        <is>
          <t>EPIC-03</t>
        </is>
      </c>
      <c r="B128" s="2" t="inlineStr">
        <is>
          <t>TC-CEPA-032-002</t>
        </is>
      </c>
      <c r="C128" s="2" t="inlineStr">
        <is>
          <t>Integration</t>
        </is>
      </c>
      <c r="D128" s="2" t="inlineStr">
        <is>
          <t>Alertas EPIC-10</t>
        </is>
      </c>
      <c r="E128" s="2" t="inlineStr">
        <is>
          <t>Motor de alertas de vencimiento</t>
        </is>
      </c>
      <c r="F128" s="2" t="inlineStr">
        <is>
          <t>Verificar que un caso EPT con plazo próximo a vencer genera una alerta in-app visible en el panel del administrativo asignado, según las reglas de EPIC-10.</t>
        </is>
      </c>
      <c r="G128" s="2" t="inlineStr">
        <is>
          <t>Web/API</t>
        </is>
      </c>
      <c r="H128" s="2" t="inlineStr">
        <is>
          <t>Caso EPT con plazo de informe EPT o fecha de entrega ISL dentro de la ventana de alerta configurada; administrativo asignado al caso; revisión programada de alertas habilitada.</t>
        </is>
      </c>
      <c r="I128" s="2" t="inlineStr">
        <is>
          <t>1. Configurar un caso EPT con fecha de entrega ISL dentro de la ventana de alerta (p. ej. a 2 días hábiles). 2. Ejecutar (o esperar) la revisión programada de alertas del sistema. 3. Iniciar sesión con el administrativo asignado al caso. 4. Abrir el panel de alertas in-app.</t>
        </is>
      </c>
      <c r="J128" s="2" t="inlineStr">
        <is>
          <t>El sistema genera una alerta de vencimiento próxima visible en el panel del administrativo asignado, conforme a las reglas de anticipación definidas en EPIC-10.</t>
        </is>
      </c>
      <c r="K128" s="2" t="inlineStr"/>
      <c r="L128" s="2" t="inlineStr"/>
      <c r="M128" s="2" t="inlineStr">
        <is>
          <t>P0</t>
        </is>
      </c>
      <c r="N128" s="3" t="inlineStr">
        <is>
          <t>Critical</t>
        </is>
      </c>
      <c r="O128" s="2" t="inlineStr"/>
      <c r="P128" s="2" t="inlineStr"/>
      <c r="Q128" s="2" t="inlineStr">
        <is>
          <t>S1</t>
        </is>
      </c>
    </row>
    <row r="129">
      <c r="A129" s="2" t="inlineStr">
        <is>
          <t>EPIC-03</t>
        </is>
      </c>
      <c r="B129" s="2" t="inlineStr">
        <is>
          <t>TC-CEPA-032-003</t>
        </is>
      </c>
      <c r="C129" s="2" t="inlineStr">
        <is>
          <t>Functional</t>
        </is>
      </c>
      <c r="D129" s="2" t="inlineStr">
        <is>
          <t>Cierre de hito</t>
        </is>
      </c>
      <c r="E129" s="2" t="inlineStr">
        <is>
          <t>Registro de envío ISL</t>
        </is>
      </c>
      <c r="F129" s="2" t="inlineStr">
        <is>
          <t>Verificar que al registrar la fecha de envío con estado 'enviado' el hito queda marcado como cumplido y cesan las alertas de vencimiento asociadas.</t>
        </is>
      </c>
      <c r="G129" s="2" t="inlineStr">
        <is>
          <t>Web</t>
        </is>
      </c>
      <c r="H129" s="2" t="inlineStr">
        <is>
          <t>Caso EPT con plazo por vencer y alertas de vencimiento activas; usuario Administrativo autenticado.</t>
        </is>
      </c>
      <c r="I129" s="2" t="inlineStr">
        <is>
          <t>1. Abrir la sección de plazos del caso EPT. 2. Registrar la fecha de envío: 02/07/2026. 3. Seleccionar el estado 'enviado'. 4. Hacer clic en 'Guardar'. 5. Ejecutar la siguiente revisión programada de alertas. 6. Revisar el panel de alertas del administrativo asignado.</t>
        </is>
      </c>
      <c r="J129" s="2" t="inlineStr">
        <is>
          <t>El hito se marca como 'cumplido'; el sistema deja de emitir alertas de vencimiento para ese hito en las revisiones posteriores.</t>
        </is>
      </c>
      <c r="K129" s="2" t="inlineStr"/>
      <c r="L129" s="2" t="inlineStr"/>
      <c r="M129" s="2" t="inlineStr">
        <is>
          <t>P0</t>
        </is>
      </c>
      <c r="N129" s="3" t="inlineStr">
        <is>
          <t>Critical</t>
        </is>
      </c>
      <c r="O129" s="2" t="inlineStr"/>
      <c r="P129" s="2" t="inlineStr"/>
      <c r="Q129" s="2" t="inlineStr">
        <is>
          <t>S1</t>
        </is>
      </c>
    </row>
    <row r="130">
      <c r="A130" s="2" t="inlineStr">
        <is>
          <t>EPIC-03</t>
        </is>
      </c>
      <c r="B130" s="2" t="inlineStr">
        <is>
          <t>TC-CEPA-032-004</t>
        </is>
      </c>
      <c r="C130" s="2" t="inlineStr">
        <is>
          <t>Business Rules</t>
        </is>
      </c>
      <c r="D130" s="2" t="inlineStr">
        <is>
          <t>Estado vencido</t>
        </is>
      </c>
      <c r="E130" s="2" t="inlineStr">
        <is>
          <t>Motor de plazos ISL</t>
        </is>
      </c>
      <c r="F130" s="2" t="inlineStr">
        <is>
          <t>Verificar que un caso cuya fecha de entrega ISL ya pasó sin envío queda marcado como 'vencido' y aparece en el reporte/listado de cumplimiento de plazos.</t>
        </is>
      </c>
      <c r="G130" s="2" t="inlineStr">
        <is>
          <t>Web</t>
        </is>
      </c>
      <c r="H130" s="2" t="inlineStr">
        <is>
          <t>Caso EPT con fecha de entrega ISL igual o anterior a la fecha actual y sin fecha de envío registrada; evaluación de plazos habilitada.</t>
        </is>
      </c>
      <c r="I130" s="2" t="inlineStr">
        <is>
          <t>1. Configurar un caso EPT con fecha de entrega ISL = fecha actual (hoy) y sin envío registrado. 2. Ejecutar la evaluación de plazos programada al inicio del día. 3. Consultar el estado del caso. 4. Abrir el reporte/listado de cumplimiento de plazos y buscar el caso.</t>
        </is>
      </c>
      <c r="J130" s="2" t="inlineStr">
        <is>
          <t>El sistema marca el caso como 'vencido' (o 'por vencer' según la regla configurada para el día de la fecha objetivo) y el caso aparece expuesto en el reporte/listado de cumplimiento de plazos.</t>
        </is>
      </c>
      <c r="K130" s="2" t="inlineStr"/>
      <c r="L130" s="2" t="inlineStr"/>
      <c r="M130" s="2" t="inlineStr">
        <is>
          <t>P0</t>
        </is>
      </c>
      <c r="N130" s="3" t="inlineStr">
        <is>
          <t>Critical</t>
        </is>
      </c>
      <c r="O130" s="2" t="inlineStr"/>
      <c r="P130" s="2" t="inlineStr"/>
      <c r="Q130" s="2" t="inlineStr">
        <is>
          <t>S2</t>
        </is>
      </c>
    </row>
    <row r="131">
      <c r="A131" s="2" t="inlineStr">
        <is>
          <t>EPIC-03</t>
        </is>
      </c>
      <c r="B131" s="2" t="inlineStr">
        <is>
          <t>TC-CEPA-032-005</t>
        </is>
      </c>
      <c r="C131" s="2" t="inlineStr">
        <is>
          <t>Security</t>
        </is>
      </c>
      <c r="D131" s="2" t="inlineStr">
        <is>
          <t>RBAC</t>
        </is>
      </c>
      <c r="E131" s="2" t="inlineStr">
        <is>
          <t>Control de acceso plazos EPT</t>
        </is>
      </c>
      <c r="F131" s="2" t="inlineStr">
        <is>
          <t>Verificar que Coordinación y Auditor visualizan los plazos y estados de cumplimiento del caso EPT en solo lectura, sin poder editarlos.</t>
        </is>
      </c>
      <c r="G131" s="2" t="inlineStr">
        <is>
          <t>Web/API</t>
        </is>
      </c>
      <c r="H131" s="2" t="inlineStr">
        <is>
          <t>Caso EPT con plazos y estados registrados; usuarios Coordinación y Auditor autenticados.</t>
        </is>
      </c>
      <c r="I131" s="2" t="inlineStr">
        <is>
          <t>1. Iniciar sesión con perfil Auditor. 2. Abrir los plazos y estados del caso EPT. 3. Intentar editar la fecha de envío. 4. Enviar vía API un PUT a /api/v1/ept/casos/{id}/plazos con el token de Auditor. 5. Repetir los pasos 1-4 con perfil Coordinación.</t>
        </is>
      </c>
      <c r="J131" s="2" t="inlineStr">
        <is>
          <t>Ambos perfiles visualizan plazos, fechas y estado de cumplimiento en solo lectura; la edición no está disponible en la interfaz y la petición API es rechazada con 403 Forbidden.</t>
        </is>
      </c>
      <c r="K131" s="2" t="inlineStr"/>
      <c r="L131" s="2" t="inlineStr"/>
      <c r="M131" s="2" t="inlineStr">
        <is>
          <t>P0</t>
        </is>
      </c>
      <c r="N131" s="3" t="inlineStr">
        <is>
          <t>Critical</t>
        </is>
      </c>
      <c r="O131" s="2" t="inlineStr"/>
      <c r="P131" s="2" t="inlineStr"/>
      <c r="Q131" s="2" t="inlineStr">
        <is>
          <t>S3</t>
        </is>
      </c>
    </row>
    <row r="132">
      <c r="A132" s="2" t="inlineStr">
        <is>
          <t>EPIC-03</t>
        </is>
      </c>
      <c r="B132" s="2" t="inlineStr">
        <is>
          <t>TC-CEPA-032-006</t>
        </is>
      </c>
      <c r="C132" s="2" t="inlineStr">
        <is>
          <t>Business Rules</t>
        </is>
      </c>
      <c r="D132" s="2" t="inlineStr">
        <is>
          <t>Consistencia de fechas</t>
        </is>
      </c>
      <c r="E132" s="2" t="inlineStr">
        <is>
          <t>Validador de plazos ISL</t>
        </is>
      </c>
      <c r="F132" s="2" t="inlineStr">
        <is>
          <t>Verificar que la fecha de entrega ISL no puede ser anterior a la fecha de ingreso del caso ni al plazo de informe EPT.</t>
        </is>
      </c>
      <c r="G132" s="2" t="inlineStr">
        <is>
          <t>Web</t>
        </is>
      </c>
      <c r="H132" s="2" t="inlineStr">
        <is>
          <t>Caso EPT con fecha de ingreso 01/07/2026 y plazo de informe EPT 31/07/2026; usuario Administrativo autenticado en edición de plazos.</t>
        </is>
      </c>
      <c r="I132" s="2" t="inlineStr">
        <is>
          <t>1. Ingresar fecha de entrega ISL: 25/06/2026 (anterior a la fecha de ingreso) y hacer clic en 'Guardar'. 2. Ingresar fecha de entrega ISL: 20/07/2026 (anterior al plazo de informe EPT) y hacer clic en 'Guardar'. 3. Ingresar fecha de entrega ISL: 05/08/2026 (posterior a ambos) y hacer clic en 'Guardar'.</t>
        </is>
      </c>
      <c r="J132" s="2" t="inlineStr">
        <is>
          <t>Los dos primeros intentos son rechazados con mensaje de fecha inconsistente (anterior a fecha de ingreso / anterior al plazo de informe EPT); el tercer valor se guarda correctamente.</t>
        </is>
      </c>
      <c r="K132" s="2" t="inlineStr"/>
      <c r="L132" s="2" t="inlineStr"/>
      <c r="M132" s="2" t="inlineStr">
        <is>
          <t>P0</t>
        </is>
      </c>
      <c r="N132" s="4" t="inlineStr">
        <is>
          <t>Major</t>
        </is>
      </c>
      <c r="O132" s="2" t="inlineStr"/>
      <c r="P132" s="2" t="inlineStr"/>
      <c r="Q132" s="2" t="inlineStr">
        <is>
          <t>BR-3</t>
        </is>
      </c>
    </row>
    <row r="133">
      <c r="A133" s="2" t="inlineStr">
        <is>
          <t>EPIC-03</t>
        </is>
      </c>
      <c r="B133" s="2" t="inlineStr">
        <is>
          <t>TC-CEPA-032-007</t>
        </is>
      </c>
      <c r="C133" s="2" t="inlineStr">
        <is>
          <t>Business Rules</t>
        </is>
      </c>
      <c r="D133" s="2" t="inlineStr">
        <is>
          <t>Auditoría regulatoria</t>
        </is>
      </c>
      <c r="E133" s="2" t="inlineStr">
        <is>
          <t>Log de auditoría</t>
        </is>
      </c>
      <c r="F133" s="2" t="inlineStr">
        <is>
          <t>Verificar que todo cambio de plazo, fecha de envío o estado del caso EPT queda registrado en el log de auditoría por ser dato regulatorio.</t>
        </is>
      </c>
      <c r="G133" s="2" t="inlineStr">
        <is>
          <t>Web</t>
        </is>
      </c>
      <c r="H133" s="2" t="inlineStr">
        <is>
          <t>Caso EPT con plazos registrados; usuario Administrativo autenticado.</t>
        </is>
      </c>
      <c r="I133" s="2" t="inlineStr">
        <is>
          <t>1. Modificar el plazo de informe EPT de 31/07/2026 a 04/08/2026 y guardar. 2. Registrar la fecha de envío 02/07/2026 con estado 'enviado' y guardar. 3. Cambiar el estado del hito y guardar. 4. Consultar el log de auditoría del caso.</t>
        </is>
      </c>
      <c r="J133" s="2" t="inlineStr">
        <is>
          <t>El log de auditoría registra cada cambio de plazo, fecha de envío y estado, indicando usuario, valor anterior/nuevo y fecha/hora de cada operación.</t>
        </is>
      </c>
      <c r="K133" s="2" t="inlineStr"/>
      <c r="L133" s="2" t="inlineStr"/>
      <c r="M133" s="2" t="inlineStr">
        <is>
          <t>P0</t>
        </is>
      </c>
      <c r="N133" s="3" t="inlineStr">
        <is>
          <t>Critical</t>
        </is>
      </c>
      <c r="O133" s="2" t="inlineStr"/>
      <c r="P133" s="2" t="inlineStr"/>
      <c r="Q133" s="2" t="inlineStr">
        <is>
          <t>BR-5</t>
        </is>
      </c>
    </row>
    <row r="134">
      <c r="A134" s="2" t="inlineStr">
        <is>
          <t>EPIC-03</t>
        </is>
      </c>
      <c r="B134" s="2" t="inlineStr">
        <is>
          <t>TC-CEPA-032-008</t>
        </is>
      </c>
      <c r="C134" s="2" t="inlineStr">
        <is>
          <t>Business Rules</t>
        </is>
      </c>
      <c r="D134" s="2" t="inlineStr">
        <is>
          <t>Exclusión de plazos y alertas</t>
        </is>
      </c>
      <c r="E134" s="2" t="inlineStr">
        <is>
          <t>Motor de alertas de vencimiento</t>
        </is>
      </c>
      <c r="F134" s="2" t="inlineStr">
        <is>
          <t>Verificar que los casos con 'Corresponde EPT' = No no generan plazos EPT ni alertas de vencimiento.</t>
        </is>
      </c>
      <c r="G134" s="2" t="inlineStr">
        <is>
          <t>Web</t>
        </is>
      </c>
      <c r="H134" s="2" t="inlineStr">
        <is>
          <t>Caso EPT registrado con 'Corresponde EPT' = No; revisión programada de alertas habilitada.</t>
        </is>
      </c>
      <c r="I134" s="2" t="inlineStr">
        <is>
          <t>1. Abrir el caso con 'Corresponde EPT' = No y revisar la sección de plazos. 2. Ejecutar la revisión programada de alertas. 3. Revisar el panel de alertas del administrativo asignado. 4. Consultar el reporte de cumplimiento de plazos.</t>
        </is>
      </c>
      <c r="J134" s="2" t="inlineStr">
        <is>
          <t>El caso no exige ni genera plazos de informe EPT / entrega ISL, no produce alertas de vencimiento y no aparece en el reporte de cumplimiento de plazos EPT.</t>
        </is>
      </c>
      <c r="K134" s="2" t="inlineStr"/>
      <c r="L134" s="2" t="inlineStr"/>
      <c r="M134" s="2" t="inlineStr">
        <is>
          <t>P0</t>
        </is>
      </c>
      <c r="N134" s="4" t="inlineStr">
        <is>
          <t>Major</t>
        </is>
      </c>
      <c r="O134" s="2" t="inlineStr"/>
      <c r="P134" s="2" t="inlineStr"/>
      <c r="Q134" s="2" t="inlineStr">
        <is>
          <t>BR-7</t>
        </is>
      </c>
    </row>
    <row r="135">
      <c r="A135" s="2" t="inlineStr">
        <is>
          <t>EPIC-03</t>
        </is>
      </c>
      <c r="B135" s="2" t="inlineStr">
        <is>
          <t>TC-CEPA-032-009</t>
        </is>
      </c>
      <c r="C135" s="2" t="inlineStr">
        <is>
          <t>Data Integrity</t>
        </is>
      </c>
      <c r="D135" s="2" t="inlineStr">
        <is>
          <t>Cobertura columnas planilla</t>
        </is>
      </c>
      <c r="E135" s="2" t="inlineStr">
        <is>
          <t>Modelo de datos plazos EPT</t>
        </is>
      </c>
      <c r="F135" s="2" t="inlineStr">
        <is>
          <t>Verificar que el módulo captura las columnas de plazos y envío de la hoja 'Seguimiento EPT' y que el estado de envío se maneja como catálogo cerrado.</t>
        </is>
      </c>
      <c r="G135" s="2" t="inlineStr">
        <is>
          <t>Web</t>
        </is>
      </c>
      <c r="H135" s="2" t="inlineStr">
        <is>
          <t>Caso EPT con 'Corresponde EPT' = Sí; usuario Administrativo autenticado; estructura de la hoja 'Seguimiento EPT' como referencia.</t>
        </is>
      </c>
      <c r="I135" s="2" t="inlineStr">
        <is>
          <t>1. Abrir la sección de plazos del caso EPT. 2. Verificar la existencia de campos para: Plazo Informe EPT (Epetista), Plazo Portal ISL (Epetista), Fecha Entrega ISL y Fecha de envío / estado. 3. Verificar que el campo estado de envío solo ofrece los valores del catálogo cerrado definido (p. ej. pendiente/enviado), sin texto libre. 4. Completar todos los campos con fechas de prueba y guardar. 5. Reabrir y comparar los valores persistidos.</t>
        </is>
      </c>
      <c r="J135" s="2" t="inlineStr">
        <is>
          <t>Todos los campos equivalentes a las columnas de plazos/envío de la hoja existen y persisten sin pérdida; el estado de envío se comporta como catálogo cerrado y rechaza valores fuera de la lista.</t>
        </is>
      </c>
      <c r="K135" s="2" t="inlineStr"/>
      <c r="L135" s="2" t="inlineStr"/>
      <c r="M135" s="2" t="inlineStr">
        <is>
          <t>P0</t>
        </is>
      </c>
      <c r="N135" s="4" t="inlineStr">
        <is>
          <t>Major</t>
        </is>
      </c>
      <c r="O135" s="2" t="inlineStr"/>
      <c r="P135" s="2" t="inlineStr"/>
      <c r="Q135" s="2" t="inlineStr">
        <is>
          <t>PLANILLA</t>
        </is>
      </c>
    </row>
    <row r="136">
      <c r="A136" s="2" t="inlineStr">
        <is>
          <t>EPIC-04</t>
        </is>
      </c>
      <c r="B136" s="2" t="inlineStr">
        <is>
          <t>TC-CEPA-040-001</t>
        </is>
      </c>
      <c r="C136" s="2" t="inlineStr">
        <is>
          <t>Functional</t>
        </is>
      </c>
      <c r="D136" s="2" t="inlineStr">
        <is>
          <t>Pre-llenado de datos</t>
        </is>
      </c>
      <c r="E136" s="2" t="inlineStr">
        <is>
          <t>Formulario de caso de reintegro</t>
        </is>
      </c>
      <c r="F136" s="2" t="inlineStr">
        <is>
          <t>Verificar que al ingresar un RUT válido existente el sistema pre-llena nombre, región y datos sociodemográficos desde el folio del usuario y permite confirmar o actualizar.</t>
        </is>
      </c>
      <c r="G136" s="2" t="inlineStr">
        <is>
          <t>Web</t>
        </is>
      </c>
      <c r="H136" s="2" t="inlineStr">
        <is>
          <t>Usuario Administrativo autenticado; existe un usuario con folio en Ingresos con RUT 12.345.678-5, nombre, región y datos sociodemográficos registrados.</t>
        </is>
      </c>
      <c r="I136" s="2" t="inlineStr">
        <is>
          <t>1. Navegar al módulo Seguimiento de Reintegro. 2. Hacer clic en 'Nuevo caso de reintegro'. 3. Ingresar el RUT 12.345.678-5 en el campo RUT. 4. Observar los campos nombre, región, sexo, edad/tramo etario, región y comuna. 5. Modificar la comuna pre-llenada y confirmar los datos.</t>
        </is>
      </c>
      <c r="J136" s="2" t="inlineStr">
        <is>
          <t>El sistema pre-llena automáticamente nombre, región y datos sociodemográficos (sexo, edad/tramo etario, región, comuna) desde el folio del usuario, y permite tanto confirmar como actualizar los valores pre-llenados.</t>
        </is>
      </c>
      <c r="K136" s="2" t="inlineStr"/>
      <c r="L136" s="2" t="inlineStr"/>
      <c r="M136" s="2" t="inlineStr">
        <is>
          <t>P0</t>
        </is>
      </c>
      <c r="N136" s="4" t="inlineStr">
        <is>
          <t>Major</t>
        </is>
      </c>
      <c r="O136" s="2" t="inlineStr"/>
      <c r="P136" s="2" t="inlineStr"/>
      <c r="Q136" s="2" t="inlineStr">
        <is>
          <t>S1</t>
        </is>
      </c>
    </row>
    <row r="137">
      <c r="A137" s="2" t="inlineStr">
        <is>
          <t>EPIC-04</t>
        </is>
      </c>
      <c r="B137" s="2" t="inlineStr">
        <is>
          <t>TC-CEPA-040-002</t>
        </is>
      </c>
      <c r="C137" s="2" t="inlineStr">
        <is>
          <t>Functional</t>
        </is>
      </c>
      <c r="D137" s="2" t="inlineStr">
        <is>
          <t>Vinculación a folio</t>
        </is>
      </c>
      <c r="E137" s="2" t="inlineStr">
        <is>
          <t>Formulario de caso de reintegro</t>
        </is>
      </c>
      <c r="F137" s="2" t="inlineStr">
        <is>
          <t>Verificar que al guardar un caso de reintegro con todos los campos obligatorios completos, el caso queda vinculado al folio del usuario y visible desde Ingresos y desde la vista de gestión de reintegro.</t>
        </is>
      </c>
      <c r="G137" s="2" t="inlineStr">
        <is>
          <t>Web</t>
        </is>
      </c>
      <c r="H137" s="2" t="inlineStr">
        <is>
          <t>Usuario Administrativo autenticado; usuario con folio 2026-0150 existente en Ingresos con RUT 12.345.678-5.</t>
        </is>
      </c>
      <c r="I137" s="2" t="inlineStr">
        <is>
          <t>1. Abrir el formulario de nuevo caso de reintegro. 2. Ingresar RUT 12.345.678-5 y confirmar los datos pre-llenados. 3. Completar folio 2026-0150, tipo de derivación 'DIEP', fecha del caso 15/06/2026, región 'Maule', comuna 'Talca', sexo, tramo etario y rubro del empleador 'Agricultura'. 4. Hacer clic en 'Guardar'. 5. Navegar al módulo de Ingresos y abrir el folio 2026-0150. 6. Navegar a la vista de gestión de reintegro.</t>
        </is>
      </c>
      <c r="J137" s="2" t="inlineStr">
        <is>
          <t>El caso se guarda vinculado al folio 2026-0150; desde el módulo de Ingresos el folio muestra el caso de reintegro asociado y el caso aparece listado en la vista de gestión de reintegro.</t>
        </is>
      </c>
      <c r="K137" s="2" t="inlineStr"/>
      <c r="L137" s="2" t="inlineStr"/>
      <c r="M137" s="2" t="inlineStr">
        <is>
          <t>P0</t>
        </is>
      </c>
      <c r="N137" s="3" t="inlineStr">
        <is>
          <t>Critical</t>
        </is>
      </c>
      <c r="O137" s="2" t="inlineStr"/>
      <c r="P137" s="2" t="inlineStr"/>
      <c r="Q137" s="2" t="inlineStr">
        <is>
          <t>S1</t>
        </is>
      </c>
    </row>
    <row r="138">
      <c r="A138" s="2" t="inlineStr">
        <is>
          <t>EPIC-04</t>
        </is>
      </c>
      <c r="B138" s="2" t="inlineStr">
        <is>
          <t>TC-CEPA-040-003</t>
        </is>
      </c>
      <c r="C138" s="2" t="inlineStr">
        <is>
          <t>Functional</t>
        </is>
      </c>
      <c r="D138" s="2" t="inlineStr">
        <is>
          <t>Validación RUT</t>
        </is>
      </c>
      <c r="E138" s="2" t="inlineStr">
        <is>
          <t>Validador de RUT</t>
        </is>
      </c>
      <c r="F138" s="2" t="inlineStr">
        <is>
          <t>Verificar que al ingresar un RUT con dígito verificador inválido el sistema muestra un error específico de RUT y conserva el resto de los datos ingresados.</t>
        </is>
      </c>
      <c r="G138" s="2" t="inlineStr">
        <is>
          <t>Web</t>
        </is>
      </c>
      <c r="H138" s="2" t="inlineStr">
        <is>
          <t>Usuario Administrativo autenticado; formulario de nuevo caso de reintegro abierto.</t>
        </is>
      </c>
      <c r="I138" s="2" t="inlineStr">
        <is>
          <t>1. Ingresar el RUT 12.345.678-0 (dígito verificador incorrecto; el correcto es 5). 2. Completar nombre 'María Pérez Soto', tipo de derivación 'DIAT', fecha 15/06/2026 y región 'Maule'. 3. Hacer clic en 'Guardar'.</t>
        </is>
      </c>
      <c r="J138" s="2" t="inlineStr">
        <is>
          <t>El sistema muestra un mensaje de error específico indicando que el dígito verificador del RUT es inválido, no guarda el registro y conserva todos los demás datos ingresados en el formulario.</t>
        </is>
      </c>
      <c r="K138" s="2" t="inlineStr"/>
      <c r="L138" s="2" t="inlineStr"/>
      <c r="M138" s="2" t="inlineStr">
        <is>
          <t>P0</t>
        </is>
      </c>
      <c r="N138" s="4" t="inlineStr">
        <is>
          <t>Major</t>
        </is>
      </c>
      <c r="O138" s="2" t="inlineStr"/>
      <c r="P138" s="2" t="inlineStr"/>
      <c r="Q138" s="2" t="inlineStr">
        <is>
          <t>S4</t>
        </is>
      </c>
    </row>
    <row r="139">
      <c r="A139" s="2" t="inlineStr">
        <is>
          <t>EPIC-04</t>
        </is>
      </c>
      <c r="B139" s="2" t="inlineStr">
        <is>
          <t>TC-CEPA-040-004</t>
        </is>
      </c>
      <c r="C139" s="2" t="inlineStr">
        <is>
          <t>Data Integrity</t>
        </is>
      </c>
      <c r="D139" s="2" t="inlineStr">
        <is>
          <t>Catálogo cerrado</t>
        </is>
      </c>
      <c r="E139" s="2" t="inlineStr">
        <is>
          <t>Catálogo de tipos de derivación</t>
        </is>
      </c>
      <c r="F139" s="2" t="inlineStr">
        <is>
          <t>Verificar que la lista de tipo de derivación ofrece solo los valores reales del catálogo D4 y que 'convenio SOCORRO' no aparece.</t>
        </is>
      </c>
      <c r="G139" s="2" t="inlineStr">
        <is>
          <t>Web</t>
        </is>
      </c>
      <c r="H139" s="2" t="inlineStr">
        <is>
          <t>Usuario Administrativo autenticado; formulario de nuevo caso de reintegro abierto.</t>
        </is>
      </c>
      <c r="I139" s="2" t="inlineStr">
        <is>
          <t>1. Hacer clic en el campo 'Tipo de derivación'. 2. Desplegar la lista completa de valores. 3. Revisar cada valor ofrecido contra el catálogo D4. 4. Buscar el texto 'convenio SOCORRO' en la lista.</t>
        </is>
      </c>
      <c r="J139" s="2" t="inlineStr">
        <is>
          <t>La lista ofrece exactamente los valores D4: DIEP, DIAT, PAPT a flujo AT, Reingreso FUMP, Reingreso SUSESO, Convenio U.Clínica, Proyecto, Particular, PAPT. 'Convenio SOCORRO' no aparece y no es posible ingresar valores fuera del catálogo.</t>
        </is>
      </c>
      <c r="K139" s="2" t="inlineStr"/>
      <c r="L139" s="2" t="inlineStr"/>
      <c r="M139" s="2" t="inlineStr">
        <is>
          <t>P0</t>
        </is>
      </c>
      <c r="N139" s="4" t="inlineStr">
        <is>
          <t>Major</t>
        </is>
      </c>
      <c r="O139" s="2" t="inlineStr"/>
      <c r="P139" s="2" t="inlineStr"/>
      <c r="Q139" s="2" t="inlineStr">
        <is>
          <t>S4</t>
        </is>
      </c>
    </row>
    <row r="140">
      <c r="A140" s="2" t="inlineStr">
        <is>
          <t>EPIC-04</t>
        </is>
      </c>
      <c r="B140" s="2" t="inlineStr">
        <is>
          <t>TC-CEPA-040-005</t>
        </is>
      </c>
      <c r="C140" s="2" t="inlineStr">
        <is>
          <t>Business Rules</t>
        </is>
      </c>
      <c r="D140" s="2" t="inlineStr">
        <is>
          <t>Vinculación reingreso (D2)</t>
        </is>
      </c>
      <c r="E140" s="2" t="inlineStr">
        <is>
          <t>Generador/asignador de folios</t>
        </is>
      </c>
      <c r="F140" s="2" t="inlineStr">
        <is>
          <t>Verificar que un reingreso permite el ingreso manual del folio anterior del usuario y que el caso queda vinculado a ese folio sin duplicar al usuario (D2).</t>
        </is>
      </c>
      <c r="G140" s="2" t="inlineStr">
        <is>
          <t>Web</t>
        </is>
      </c>
      <c r="H140" s="2" t="inlineStr">
        <is>
          <t>Usuario Administrativo autenticado; usuario con RUT 12.345.678-5 con alta previa y folio histórico 2025-0088 existente en el sistema.</t>
        </is>
      </c>
      <c r="I140" s="2" t="inlineStr">
        <is>
          <t>1. Abrir el formulario de nuevo caso de reintegro. 2. Ingresar el RUT 12.345.678-5. 3. Seleccionar tipo de derivación 'Reingreso FUMP'. 4. Activar la opción de folio manual e ingresar el folio histórico 2025-0088. 5. Completar los campos obligatorios restantes y hacer clic en 'Guardar'. 6. Consultar la ficha del usuario en el módulo de Ingresos.</t>
        </is>
      </c>
      <c r="J140" s="2" t="inlineStr">
        <is>
          <t>El caso de reintegro queda vinculado al folio anterior 2025-0088 (D2); el sistema no crea un usuario duplicado y la ficha del usuario muestra el nuevo caso asociado al folio histórico.</t>
        </is>
      </c>
      <c r="K140" s="2" t="inlineStr"/>
      <c r="L140" s="2" t="inlineStr"/>
      <c r="M140" s="2" t="inlineStr">
        <is>
          <t>P0</t>
        </is>
      </c>
      <c r="N140" s="4" t="inlineStr">
        <is>
          <t>Major</t>
        </is>
      </c>
      <c r="O140" s="2" t="inlineStr"/>
      <c r="P140" s="2" t="inlineStr"/>
      <c r="Q140" s="2" t="inlineStr">
        <is>
          <t>BR-1</t>
        </is>
      </c>
    </row>
    <row r="141">
      <c r="A141" s="2" t="inlineStr">
        <is>
          <t>EPIC-04</t>
        </is>
      </c>
      <c r="B141" s="2" t="inlineStr">
        <is>
          <t>TC-CEPA-040-006</t>
        </is>
      </c>
      <c r="C141" s="2" t="inlineStr">
        <is>
          <t>Business Rules</t>
        </is>
      </c>
      <c r="D141" s="2" t="inlineStr">
        <is>
          <t>Campos obligatorios</t>
        </is>
      </c>
      <c r="E141" s="2" t="inlineStr">
        <is>
          <t>Validador de campos obligatorios del caso</t>
        </is>
      </c>
      <c r="F141" s="2" t="inlineStr">
        <is>
          <t>Verificar que el sistema bloquea el guardado del caso de reintegro cuando falta alguno de los campos obligatorios base: folio, tipo de derivación, fecha, nombre o región (D6).</t>
        </is>
      </c>
      <c r="G141" s="2" t="inlineStr">
        <is>
          <t>Web</t>
        </is>
      </c>
      <c r="H141" s="2" t="inlineStr">
        <is>
          <t>Usuario Administrativo autenticado; formulario de nuevo caso de reintegro abierto.</t>
        </is>
      </c>
      <c r="I141" s="2" t="inlineStr">
        <is>
          <t>1. Ingresar solo el RUT 12.345.678-5 y el nombre 'María Pérez Soto', dejando vacíos folio, tipo de derivación, fecha y región. 2. Hacer clic en 'Guardar'. 3. Completar tipo de derivación 'DIEP' y fecha 15/06/2026, dejando región vacía. 4. Hacer clic nuevamente en 'Guardar'.</t>
        </is>
      </c>
      <c r="J141" s="2" t="inlineStr">
        <is>
          <t>En ambos intentos el sistema bloquea el guardado e indica campo por campo cuáles obligatorios faltan (folio, tipo de derivación, fecha, región); el registro no se crea hasta completar todos los obligatorios.</t>
        </is>
      </c>
      <c r="K141" s="2" t="inlineStr"/>
      <c r="L141" s="2" t="inlineStr"/>
      <c r="M141" s="2" t="inlineStr">
        <is>
          <t>P0</t>
        </is>
      </c>
      <c r="N141" s="4" t="inlineStr">
        <is>
          <t>Major</t>
        </is>
      </c>
      <c r="O141" s="2" t="inlineStr"/>
      <c r="P141" s="2" t="inlineStr"/>
      <c r="Q141" s="2" t="inlineStr">
        <is>
          <t>BR-2</t>
        </is>
      </c>
    </row>
    <row r="142">
      <c r="A142" s="2" t="inlineStr">
        <is>
          <t>EPIC-04</t>
        </is>
      </c>
      <c r="B142" s="2" t="inlineStr">
        <is>
          <t>TC-CEPA-040-007</t>
        </is>
      </c>
      <c r="C142" s="2" t="inlineStr">
        <is>
          <t>Business Rules</t>
        </is>
      </c>
      <c r="D142" s="2" t="inlineStr">
        <is>
          <t>Obligatoriedad sociodemográficos (D5/D6)</t>
        </is>
      </c>
      <c r="E142" s="2" t="inlineStr">
        <is>
          <t>Validador de datos sociodemográficos</t>
        </is>
      </c>
      <c r="F142" s="2" t="inlineStr">
        <is>
          <t>Verificar que sexo, edad/tramo etario y zona geográfica (región, comuna) son obligatorios y que su omisión bloquea el guardado con mensaje de campos requeridos.</t>
        </is>
      </c>
      <c r="G142" s="2" t="inlineStr">
        <is>
          <t>Web</t>
        </is>
      </c>
      <c r="H142" s="2" t="inlineStr">
        <is>
          <t>Usuario Administrativo autenticado; formulario de nuevo caso de reintegro abierto con folio, tipo de derivación, fecha, nombre, RUT 12.345.678-5 y región completos.</t>
        </is>
      </c>
      <c r="I142" s="2" t="inlineStr">
        <is>
          <t>1. Dejar vacíos los campos sexo, edad/tramo etario y comuna. 2. Hacer clic en 'Guardar'. 3. Completar sexo 'Femenino' y tramo etario '30-39', dejando comuna vacía. 4. Hacer clic nuevamente en 'Guardar'.</t>
        </is>
      </c>
      <c r="J142" s="2" t="inlineStr">
        <is>
          <t>El sistema bloquea el guardado en ambos intentos y muestra mensaje de campos requeridos identificando los sociodemográficos faltantes; el caso solo se guarda cuando sexo, edad/tramo etario, región y comuna están completos, permitiendo que estos datos alimenten los filtros del dashboard.</t>
        </is>
      </c>
      <c r="K142" s="2" t="inlineStr"/>
      <c r="L142" s="2" t="inlineStr"/>
      <c r="M142" s="2" t="inlineStr">
        <is>
          <t>P0</t>
        </is>
      </c>
      <c r="N142" s="4" t="inlineStr">
        <is>
          <t>Major</t>
        </is>
      </c>
      <c r="O142" s="2" t="inlineStr"/>
      <c r="P142" s="2" t="inlineStr"/>
      <c r="Q142" s="2" t="inlineStr">
        <is>
          <t>BR-4</t>
        </is>
      </c>
    </row>
    <row r="143">
      <c r="A143" s="2" t="inlineStr">
        <is>
          <t>EPIC-04</t>
        </is>
      </c>
      <c r="B143" s="2" t="inlineStr">
        <is>
          <t>TC-CEPA-040-008</t>
        </is>
      </c>
      <c r="C143" s="2" t="inlineStr">
        <is>
          <t>Security</t>
        </is>
      </c>
      <c r="D143" s="2" t="inlineStr">
        <is>
          <t>Log de auditoría</t>
        </is>
      </c>
      <c r="E143" s="2" t="inlineStr">
        <is>
          <t>Log de auditoría de operaciones</t>
        </is>
      </c>
      <c r="F143" s="2" t="inlineStr">
        <is>
          <t>Verificar que toda creación y edición de un caso de reintegro se registra en el log de auditoría con usuario, acción y fecha/hora.</t>
        </is>
      </c>
      <c r="G143" s="2" t="inlineStr">
        <is>
          <t>Web/API</t>
        </is>
      </c>
      <c r="H143" s="2" t="inlineStr">
        <is>
          <t>Usuario Administrativo 'aperez' autenticado; acceso al log de auditoría (perfil Coordinación o consulta directa autorizada).</t>
        </is>
      </c>
      <c r="I143" s="2" t="inlineStr">
        <is>
          <t>1. Crear un caso de reintegro con RUT 12.345.678-5 y campos obligatorios completos; guardar. 2. Editar el caso creado modificando la comuna y guardar. 3. Consultar el log de auditoría filtrando por el folio del caso.</t>
        </is>
      </c>
      <c r="J143" s="2" t="inlineStr">
        <is>
          <t>El log de auditoría contiene una entrada por la creación y otra por la edición, cada una con el usuario que ejecutó la operación (aperez), el tipo de acción (creación/edición con campos modificados) y la fecha/hora del evento.</t>
        </is>
      </c>
      <c r="K143" s="2" t="inlineStr"/>
      <c r="L143" s="2" t="inlineStr"/>
      <c r="M143" s="2" t="inlineStr">
        <is>
          <t>P0</t>
        </is>
      </c>
      <c r="N143" s="3" t="inlineStr">
        <is>
          <t>Critical</t>
        </is>
      </c>
      <c r="O143" s="2" t="inlineStr"/>
      <c r="P143" s="2" t="inlineStr"/>
      <c r="Q143" s="2" t="inlineStr">
        <is>
          <t>BR-5</t>
        </is>
      </c>
    </row>
    <row r="144">
      <c r="A144" s="2" t="inlineStr">
        <is>
          <t>EPIC-04</t>
        </is>
      </c>
      <c r="B144" s="2" t="inlineStr">
        <is>
          <t>TC-CEPA-040-009</t>
        </is>
      </c>
      <c r="C144" s="2" t="inlineStr">
        <is>
          <t>Security</t>
        </is>
      </c>
      <c r="D144" s="2" t="inlineStr">
        <is>
          <t>RBAC</t>
        </is>
      </c>
      <c r="E144" s="2" t="inlineStr">
        <is>
          <t>Control de acceso por perfil (RBAC)</t>
        </is>
      </c>
      <c r="F144" s="2" t="inlineStr">
        <is>
          <t>Verificar que el perfil Auditor no puede crear ni editar casos de reintegro y solo accede en modo lectura.</t>
        </is>
      </c>
      <c r="G144" s="2" t="inlineStr">
        <is>
          <t>Web/API</t>
        </is>
      </c>
      <c r="H144" s="2" t="inlineStr">
        <is>
          <t>Usuario con perfil Auditor autenticado; existe al menos un caso de reintegro registrado.</t>
        </is>
      </c>
      <c r="I144" s="2" t="inlineStr">
        <is>
          <t>1. Navegar al módulo Seguimiento de Reintegro con la sesión de Auditor. 2. Verificar la disponibilidad del botón 'Nuevo caso de reintegro'. 3. Abrir un caso existente e intentar modificar un campo. 4. Enviar vía API una petición POST /api/v1 de creación de caso con el token del Auditor.</t>
        </is>
      </c>
      <c r="J144" s="2" t="inlineStr">
        <is>
          <t>La interfaz no ofrece acciones de creación/edición al Auditor (o las deniega con mensaje de permiso insuficiente); la petición API de creación es rechazada con 403; el Auditor solo puede visualizar los datos del caso.</t>
        </is>
      </c>
      <c r="K144" s="2" t="inlineStr"/>
      <c r="L144" s="2" t="inlineStr"/>
      <c r="M144" s="2" t="inlineStr">
        <is>
          <t>P0</t>
        </is>
      </c>
      <c r="N144" s="3" t="inlineStr">
        <is>
          <t>Critical</t>
        </is>
      </c>
      <c r="O144" s="2" t="inlineStr"/>
      <c r="P144" s="2" t="inlineStr"/>
      <c r="Q144" s="2" t="inlineStr">
        <is>
          <t>BR-6</t>
        </is>
      </c>
    </row>
    <row r="145">
      <c r="A145" s="2" t="inlineStr">
        <is>
          <t>EPIC-04</t>
        </is>
      </c>
      <c r="B145" s="2" t="inlineStr">
        <is>
          <t>TC-CEPA-040-010</t>
        </is>
      </c>
      <c r="C145" s="2" t="inlineStr">
        <is>
          <t>Data Integrity</t>
        </is>
      </c>
      <c r="D145" s="2" t="inlineStr">
        <is>
          <t>Cobertura de columnas de identificación</t>
        </is>
      </c>
      <c r="E145" s="2" t="inlineStr">
        <is>
          <t>Modelo de datos del caso de reintegro</t>
        </is>
      </c>
      <c r="F145" s="2" t="inlineStr">
        <is>
          <t>Verificar que el módulo captura todas las columnas de identificación de la hoja 'Seguimiento Reintegro' (FOLIO, DERIVACIÓN, FECHA, NOMBRE, RUT, REGION) y las persiste correctamente.</t>
        </is>
      </c>
      <c r="G145" s="2" t="inlineStr">
        <is>
          <t>Web/API</t>
        </is>
      </c>
      <c r="H145" s="2" t="inlineStr">
        <is>
          <t>Usuario Administrativo autenticado; formulario de nuevo caso de reintegro disponible.</t>
        </is>
      </c>
      <c r="I145" s="2" t="inlineStr">
        <is>
          <t>1. Crear un caso de reintegro completando: FOLIO 2026-0150, DERIVACIÓN 'DIEP', FECHA 15/06/2026, NOMBRE 'María Pérez Soto', RUT 12.345.678-5, REGION 'Maule'. 2. Guardar el caso. 3. Consultar el caso vía GET /api/v1 y en la vista de detalle. 4. Comparar cada campo persistido con el valor ingresado.</t>
        </is>
      </c>
      <c r="J145" s="2" t="inlineStr">
        <is>
          <t>Las 6 columnas de identificación de la hoja Excel (FOLIO, DERIVACIÓN, FECHA, NOMBRE, RUT, REGION) tienen campo equivalente en el módulo, se persisten sin pérdida ni truncamiento y se recuperan con los mismos valores ingresados.</t>
        </is>
      </c>
      <c r="K145" s="2" t="inlineStr"/>
      <c r="L145" s="2" t="inlineStr"/>
      <c r="M145" s="2" t="inlineStr">
        <is>
          <t>P0</t>
        </is>
      </c>
      <c r="N145" s="3" t="inlineStr">
        <is>
          <t>Critical</t>
        </is>
      </c>
      <c r="O145" s="2" t="inlineStr"/>
      <c r="P145" s="2" t="inlineStr"/>
      <c r="Q145" s="2" t="inlineStr">
        <is>
          <t>PLANILLA</t>
        </is>
      </c>
    </row>
    <row r="146">
      <c r="A146" s="2" t="inlineStr">
        <is>
          <t>EPIC-04</t>
        </is>
      </c>
      <c r="B146" s="2" t="inlineStr">
        <is>
          <t>TC-CEPA-041-001</t>
        </is>
      </c>
      <c r="C146" s="2" t="inlineStr">
        <is>
          <t>Functional</t>
        </is>
      </c>
      <c r="D146" s="2" t="inlineStr">
        <is>
          <t>Registro de RECA</t>
        </is>
      </c>
      <c r="E146" s="2" t="inlineStr">
        <is>
          <t>Registro de RECA</t>
        </is>
      </c>
      <c r="F146" s="2" t="inlineStr">
        <is>
          <t>Verificar que al registrar fecha, tipo y número de RECA en un caso sin RECA, esta queda asociada al caso y visible en las vistas de gestión de reintegro y de auditoría.</t>
        </is>
      </c>
      <c r="G146" s="2" t="inlineStr">
        <is>
          <t>Web</t>
        </is>
      </c>
      <c r="H146" s="2" t="inlineStr">
        <is>
          <t>Usuario Administrativo autenticado; existe un caso de reintegro (folio 2026-0150) sin RECA registrada.</t>
        </is>
      </c>
      <c r="I146" s="2" t="inlineStr">
        <is>
          <t>1. Abrir el caso de reintegro del folio 2026-0150. 2. Ingresar fecha de RECA 01/04/2026, tipo de RECA 'EP' y N° de RECA 2026-0042. 3. Registrar riesgos calificados 'Exposición a riesgo psicosocial' y razón social 'Constructora Andes Ltda.'. 4. Hacer clic en 'Guardar'. 5. Consultar la vista de gestión de reintegro del caso. 6. Consultar la vista del módulo de Auditoría para el mismo folio.</t>
        </is>
      </c>
      <c r="J146" s="2" t="inlineStr">
        <is>
          <t>La RECA (fecha, tipo, número, riesgos, razón social) queda asociada al caso y se muestra correctamente tanto en la vista de gestión de reintegro como en la vista de auditoría.</t>
        </is>
      </c>
      <c r="K146" s="2" t="inlineStr"/>
      <c r="L146" s="2" t="inlineStr"/>
      <c r="M146" s="2" t="inlineStr">
        <is>
          <t>P0</t>
        </is>
      </c>
      <c r="N146" s="3" t="inlineStr">
        <is>
          <t>Critical</t>
        </is>
      </c>
      <c r="O146" s="2" t="inlineStr"/>
      <c r="P146" s="2" t="inlineStr"/>
      <c r="Q146" s="2" t="inlineStr">
        <is>
          <t>S1</t>
        </is>
      </c>
    </row>
    <row r="147">
      <c r="A147" s="2" t="inlineStr">
        <is>
          <t>EPIC-04</t>
        </is>
      </c>
      <c r="B147" s="2" t="inlineStr">
        <is>
          <t>TC-CEPA-041-002</t>
        </is>
      </c>
      <c r="C147" s="2" t="inlineStr">
        <is>
          <t>Functional</t>
        </is>
      </c>
      <c r="D147" s="2" t="inlineStr">
        <is>
          <t>Validación condicional de medidas</t>
        </is>
      </c>
      <c r="E147" s="2" t="inlineStr">
        <is>
          <t>Gestor de medidas correctivas</t>
        </is>
      </c>
      <c r="F147" s="2" t="inlineStr">
        <is>
          <t>Verificar que si la solicitud de medidas correctivas es Sí, el sistema exige el detalle de las medidas y su fecha antes de permitir guardar.</t>
        </is>
      </c>
      <c r="G147" s="2" t="inlineStr">
        <is>
          <t>Web</t>
        </is>
      </c>
      <c r="H147" s="2" t="inlineStr">
        <is>
          <t>Usuario Administrativo autenticado; caso de reintegro con RECA N° 2026-0042 registrada; campo 'Solicitud de medidas correctivas' marcado en Sí.</t>
        </is>
      </c>
      <c r="I147" s="2" t="inlineStr">
        <is>
          <t>1. Abrir la sección de medidas correctivas del caso. 2. Dejar vacíos el campo de descripción de medidas y la fecha de medidas. 3. Hacer clic en 'Guardar'. 4. Ingresar solo la descripción 'Reasignación de funciones y ajuste de turnos', dejando la fecha vacía. 5. Hacer clic nuevamente en 'Guardar'.</t>
        </is>
      </c>
      <c r="J147" s="2" t="inlineStr">
        <is>
          <t>En ambos intentos el sistema bloquea el guardado y exige el detalle de las medidas y la fecha de medidas; el registro solo se persiste cuando ambos campos están completos.</t>
        </is>
      </c>
      <c r="K147" s="2" t="inlineStr"/>
      <c r="L147" s="2" t="inlineStr"/>
      <c r="M147" s="2" t="inlineStr">
        <is>
          <t>P0</t>
        </is>
      </c>
      <c r="N147" s="4" t="inlineStr">
        <is>
          <t>Major</t>
        </is>
      </c>
      <c r="O147" s="2" t="inlineStr"/>
      <c r="P147" s="2" t="inlineStr"/>
      <c r="Q147" s="2" t="inlineStr">
        <is>
          <t>S4</t>
        </is>
      </c>
    </row>
    <row r="148">
      <c r="A148" s="2" t="inlineStr">
        <is>
          <t>EPIC-04</t>
        </is>
      </c>
      <c r="B148" s="2" t="inlineStr">
        <is>
          <t>TC-CEPA-041-003</t>
        </is>
      </c>
      <c r="C148" s="2" t="inlineStr">
        <is>
          <t>Functional</t>
        </is>
      </c>
      <c r="D148" s="2" t="inlineStr">
        <is>
          <t>Coherencia temporal</t>
        </is>
      </c>
      <c r="E148" s="2" t="inlineStr">
        <is>
          <t>Validador de coherencia de fechas</t>
        </is>
      </c>
      <c r="F148" s="2" t="inlineStr">
        <is>
          <t>Verificar que la fecha de verificación de una medida correctiva debe ser igual o posterior a la fecha de la medida; una fecha anterior es rechazada.</t>
        </is>
      </c>
      <c r="G148" s="2" t="inlineStr">
        <is>
          <t>Web</t>
        </is>
      </c>
      <c r="H148" s="2" t="inlineStr">
        <is>
          <t>Usuario Administrativo autenticado; caso con medida correctiva registrada con fecha de medidas 10/03/2026.</t>
        </is>
      </c>
      <c r="I148" s="2" t="inlineStr">
        <is>
          <t>1. Abrir la sección de verificación de medidas del caso. 2. Marcar verificación = Sí e ingresar fecha de verificación 05/03/2026. 3. Hacer clic en 'Guardar'. 4. Corregir la fecha de verificación a 10/03/2026 (igual a la fecha de medidas). 5. Hacer clic en 'Guardar'. 6. Repetir con fecha 25/03/2026.</t>
        </is>
      </c>
      <c r="J148" s="2" t="inlineStr">
        <is>
          <t>El sistema rechaza la fecha 05/03/2026 con mensaje de incoherencia temporal; acepta la fecha igual (10/03/2026) y la fecha posterior (25/03/2026) a la fecha de la medida.</t>
        </is>
      </c>
      <c r="K148" s="2" t="inlineStr"/>
      <c r="L148" s="2" t="inlineStr"/>
      <c r="M148" s="2" t="inlineStr">
        <is>
          <t>P0</t>
        </is>
      </c>
      <c r="N148" s="4" t="inlineStr">
        <is>
          <t>Major</t>
        </is>
      </c>
      <c r="O148" s="2" t="inlineStr"/>
      <c r="P148" s="2" t="inlineStr"/>
      <c r="Q148" s="2" t="inlineStr">
        <is>
          <t>S4</t>
        </is>
      </c>
    </row>
    <row r="149">
      <c r="A149" s="2" t="inlineStr">
        <is>
          <t>EPIC-04</t>
        </is>
      </c>
      <c r="B149" s="2" t="inlineStr">
        <is>
          <t>TC-CEPA-041-004</t>
        </is>
      </c>
      <c r="C149" s="2" t="inlineStr">
        <is>
          <t>Security</t>
        </is>
      </c>
      <c r="D149" s="2" t="inlineStr">
        <is>
          <t>Consulta solo lectura Auditor</t>
        </is>
      </c>
      <c r="E149" s="2" t="inlineStr">
        <is>
          <t>Vista de consulta de RECA y medidas</t>
        </is>
      </c>
      <c r="F149" s="2" t="inlineStr">
        <is>
          <t>Verificar que el Auditor visualiza RECA, riesgos calificados y estado de medidas de un caso en modo solo lectura.</t>
        </is>
      </c>
      <c r="G149" s="2" t="inlineStr">
        <is>
          <t>Web</t>
        </is>
      </c>
      <c r="H149" s="2" t="inlineStr">
        <is>
          <t>Usuario con perfil Auditor autenticado; caso con RECA N° 2026-0042, riesgos calificados y medidas correctivas registradas.</t>
        </is>
      </c>
      <c r="I149" s="2" t="inlineStr">
        <is>
          <t>1. Iniciar sesión con perfil Auditor. 2. Navegar al módulo Seguimiento de Reintegro y abrir el caso del folio 2026-0150. 3. Revisar la sección RECA (fecha, tipo, número). 4. Revisar los riesgos calificados y el estado de las medidas correctivas. 5. Intentar interactuar con los campos de la vista.</t>
        </is>
      </c>
      <c r="J149" s="2" t="inlineStr">
        <is>
          <t>El Auditor visualiza la RECA completa, los riesgos calificados y el estado de las medidas; todos los campos se presentan en modo solo lectura, sin controles de edición habilitados.</t>
        </is>
      </c>
      <c r="K149" s="2" t="inlineStr"/>
      <c r="L149" s="2" t="inlineStr"/>
      <c r="M149" s="2" t="inlineStr">
        <is>
          <t>P0</t>
        </is>
      </c>
      <c r="N149" s="4" t="inlineStr">
        <is>
          <t>Major</t>
        </is>
      </c>
      <c r="O149" s="2" t="inlineStr"/>
      <c r="P149" s="2" t="inlineStr"/>
      <c r="Q149" s="2" t="inlineStr">
        <is>
          <t>S3</t>
        </is>
      </c>
    </row>
    <row r="150">
      <c r="A150" s="2" t="inlineStr">
        <is>
          <t>EPIC-04</t>
        </is>
      </c>
      <c r="B150" s="2" t="inlineStr">
        <is>
          <t>TC-CEPA-041-005</t>
        </is>
      </c>
      <c r="C150" s="2" t="inlineStr">
        <is>
          <t>Business Rules</t>
        </is>
      </c>
      <c r="D150" s="2" t="inlineStr">
        <is>
          <t>Unicidad N° RECA</t>
        </is>
      </c>
      <c r="E150" s="2" t="inlineStr">
        <is>
          <t>Registro de RECA</t>
        </is>
      </c>
      <c r="F150" s="2" t="inlineStr">
        <is>
          <t>Verificar que el número de RECA es único por caso y que se rechaza el ingreso de un número duplicado.</t>
        </is>
      </c>
      <c r="G150" s="2" t="inlineStr">
        <is>
          <t>Web</t>
        </is>
      </c>
      <c r="H150" s="2" t="inlineStr">
        <is>
          <t>Usuario Administrativo autenticado; caso con RECA N° 2026-0042 ya registrada.</t>
        </is>
      </c>
      <c r="I150" s="2" t="inlineStr">
        <is>
          <t>1. Abrir el caso del folio 2026-0150 con RECA registrada. 2. Intentar ingresar una segunda RECA con el N° 2026-0042 (repetido), fecha 15/04/2026 y tipo 'EP'. 3. Hacer clic en 'Guardar'.</t>
        </is>
      </c>
      <c r="J150" s="2" t="inlineStr">
        <is>
          <t>El sistema rechaza el registro por unicidad del N° de RECA en el caso, mostrando un mensaje de número duplicado, y no persiste la segunda RECA.</t>
        </is>
      </c>
      <c r="K150" s="2" t="inlineStr"/>
      <c r="L150" s="2" t="inlineStr"/>
      <c r="M150" s="2" t="inlineStr">
        <is>
          <t>P0</t>
        </is>
      </c>
      <c r="N150" s="4" t="inlineStr">
        <is>
          <t>Major</t>
        </is>
      </c>
      <c r="O150" s="2" t="inlineStr"/>
      <c r="P150" s="2" t="inlineStr"/>
      <c r="Q150" s="2" t="inlineStr">
        <is>
          <t>BR-1</t>
        </is>
      </c>
    </row>
    <row r="151">
      <c r="A151" s="2" t="inlineStr">
        <is>
          <t>EPIC-04</t>
        </is>
      </c>
      <c r="B151" s="2" t="inlineStr">
        <is>
          <t>TC-CEPA-041-006</t>
        </is>
      </c>
      <c r="C151" s="2" t="inlineStr">
        <is>
          <t>Business Rules</t>
        </is>
      </c>
      <c r="D151" s="2" t="inlineStr">
        <is>
          <t>Verificación requiere fecha</t>
        </is>
      </c>
      <c r="E151" s="2" t="inlineStr">
        <is>
          <t>Gestor de medidas correctivas</t>
        </is>
      </c>
      <c r="F151" s="2" t="inlineStr">
        <is>
          <t>Verificar que marcar verificación de medidas = Sí exige el registro de la fecha de verificación.</t>
        </is>
      </c>
      <c r="G151" s="2" t="inlineStr">
        <is>
          <t>Web</t>
        </is>
      </c>
      <c r="H151" s="2" t="inlineStr">
        <is>
          <t>Usuario Administrativo autenticado; caso con medida correctiva registrada con fecha de medidas 10/03/2026 y verificación pendiente.</t>
        </is>
      </c>
      <c r="I151" s="2" t="inlineStr">
        <is>
          <t>1. Abrir la sección de verificación de medidas del caso. 2. Marcar verificación = Sí dejando la fecha de verificación vacía. 3. Hacer clic en 'Guardar'.</t>
        </is>
      </c>
      <c r="J151" s="2" t="inlineStr">
        <is>
          <t>El sistema bloquea el guardado indicando que la fecha de verificación es obligatoria cuando verificación = Sí; el estado de verificación no se persiste sin fecha.</t>
        </is>
      </c>
      <c r="K151" s="2" t="inlineStr"/>
      <c r="L151" s="2" t="inlineStr"/>
      <c r="M151" s="2" t="inlineStr">
        <is>
          <t>P0</t>
        </is>
      </c>
      <c r="N151" s="4" t="inlineStr">
        <is>
          <t>Major</t>
        </is>
      </c>
      <c r="O151" s="2" t="inlineStr"/>
      <c r="P151" s="2" t="inlineStr"/>
      <c r="Q151" s="2" t="inlineStr">
        <is>
          <t>BR-4</t>
        </is>
      </c>
    </row>
    <row r="152">
      <c r="A152" s="2" t="inlineStr">
        <is>
          <t>EPIC-04</t>
        </is>
      </c>
      <c r="B152" s="2" t="inlineStr">
        <is>
          <t>TC-CEPA-041-007</t>
        </is>
      </c>
      <c r="C152" s="2" t="inlineStr">
        <is>
          <t>Business Rules</t>
        </is>
      </c>
      <c r="D152" s="2" t="inlineStr">
        <is>
          <t>Razón social obligatoria</t>
        </is>
      </c>
      <c r="E152" s="2" t="inlineStr">
        <is>
          <t>Registro de datos del empleador</t>
        </is>
      </c>
      <c r="F152" s="2" t="inlineStr">
        <is>
          <t>Verificar que la razón social del empleador es obligatoria al registrar la RECA y consistente con el rubro/actividad económica registrado en el caso (CEPA-040).</t>
        </is>
      </c>
      <c r="G152" s="2" t="inlineStr">
        <is>
          <t>Web</t>
        </is>
      </c>
      <c r="H152" s="2" t="inlineStr">
        <is>
          <t>Usuario Administrativo autenticado; caso de reintegro con rubro del empleador 'Construcción' registrado (CEPA-040) y sin RECA.</t>
        </is>
      </c>
      <c r="I152" s="2" t="inlineStr">
        <is>
          <t>1. Abrir el caso e ingresar fecha de RECA 01/04/2026, tipo 'EP' y N° 2026-0043, dejando la razón social vacía. 2. Hacer clic en 'Guardar'. 3. Ingresar la razón social 'Constructora Andes Ltda.'. 4. Hacer clic en 'Guardar'. 5. Consultar la ficha del caso y comparar razón social con el rubro registrado.</t>
        </is>
      </c>
      <c r="J152" s="2" t="inlineStr">
        <is>
          <t>El primer guardado se bloquea indicando que la razón social es obligatoria; el segundo guardado se acepta y la razón social queda registrada asociada al caso, consistente con el rubro/actividad económica de CEPA-040.</t>
        </is>
      </c>
      <c r="K152" s="2" t="inlineStr"/>
      <c r="L152" s="2" t="inlineStr"/>
      <c r="M152" s="2" t="inlineStr">
        <is>
          <t>P0</t>
        </is>
      </c>
      <c r="N152" s="5" t="inlineStr">
        <is>
          <t>Medium</t>
        </is>
      </c>
      <c r="O152" s="2" t="inlineStr"/>
      <c r="P152" s="2" t="inlineStr"/>
      <c r="Q152" s="2" t="inlineStr">
        <is>
          <t>BR-5</t>
        </is>
      </c>
    </row>
    <row r="153">
      <c r="A153" s="2" t="inlineStr">
        <is>
          <t>EPIC-04</t>
        </is>
      </c>
      <c r="B153" s="2" t="inlineStr">
        <is>
          <t>TC-CEPA-041-008</t>
        </is>
      </c>
      <c r="C153" s="2" t="inlineStr">
        <is>
          <t>Security</t>
        </is>
      </c>
      <c r="D153" s="2" t="inlineStr">
        <is>
          <t>RBAC y auditoría</t>
        </is>
      </c>
      <c r="E153" s="2" t="inlineStr">
        <is>
          <t>Control de acceso por perfil (RBAC)</t>
        </is>
      </c>
      <c r="F153" s="2" t="inlineStr">
        <is>
          <t>Verificar que el Auditor no puede editar RECA ni medidas correctivas y que las ediciones válidas de Administrativo/Coordinación quedan registradas en el log de auditoría.</t>
        </is>
      </c>
      <c r="G153" s="2" t="inlineStr">
        <is>
          <t>Web/API</t>
        </is>
      </c>
      <c r="H153" s="2" t="inlineStr">
        <is>
          <t>Caso con RECA y medidas registradas; cuentas de Auditor y Administrativo disponibles.</t>
        </is>
      </c>
      <c r="I153" s="2" t="inlineStr">
        <is>
          <t>1. Iniciar sesión con perfil Auditor y abrir el caso del folio 2026-0150. 2. Intentar editar la descripción de las medidas correctivas. 3. Enviar vía API una petición PUT /api/v1 de edición de medidas con el token del Auditor. 4. Iniciar sesión como Administrativo, editar la descripción de la medida y guardar. 5. Consultar el log de auditoría del caso.</t>
        </is>
      </c>
      <c r="J153" s="2" t="inlineStr">
        <is>
          <t>La edición del Auditor es denegada en UI y la petición API retorna 403; la edición del Administrativo se guarda y genera una entrada en el log de auditoría con usuario, cambio realizado y fecha/hora.</t>
        </is>
      </c>
      <c r="K153" s="2" t="inlineStr"/>
      <c r="L153" s="2" t="inlineStr"/>
      <c r="M153" s="2" t="inlineStr">
        <is>
          <t>P0</t>
        </is>
      </c>
      <c r="N153" s="3" t="inlineStr">
        <is>
          <t>Critical</t>
        </is>
      </c>
      <c r="O153" s="2" t="inlineStr"/>
      <c r="P153" s="2" t="inlineStr"/>
      <c r="Q153" s="2" t="inlineStr">
        <is>
          <t>BR-6</t>
        </is>
      </c>
    </row>
    <row r="154">
      <c r="A154" s="2" t="inlineStr">
        <is>
          <t>EPIC-04</t>
        </is>
      </c>
      <c r="B154" s="2" t="inlineStr">
        <is>
          <t>TC-CEPA-041-009</t>
        </is>
      </c>
      <c r="C154" s="2" t="inlineStr">
        <is>
          <t>Data Integrity</t>
        </is>
      </c>
      <c r="D154" s="2" t="inlineStr">
        <is>
          <t>Cobertura de columnas RECA/medidas</t>
        </is>
      </c>
      <c r="E154" s="2" t="inlineStr">
        <is>
          <t>Modelo de datos de RECA y medidas</t>
        </is>
      </c>
      <c r="F154" s="2" t="inlineStr">
        <is>
          <t>Verificar que el módulo captura todas las columnas de RECA y medidas de la hoja 'Seguimiento Reintegro' (SOLICITAR RECA, FECHA RECA, RECA, N° RECA, SOLICITAR-VERIFICACIÓN-MEDIDAS, SOLICITUDES REALIZADAS-VERIFICACION-MEDIDAS, FECHA MEDIDAS, FECHA VERIFICACION, RIESGOS, RAZON SOCIAL) y que los campos sí/no se manejan como catálogos cerrados.</t>
        </is>
      </c>
      <c r="G154" s="2" t="inlineStr">
        <is>
          <t>Web/API</t>
        </is>
      </c>
      <c r="H154" s="2" t="inlineStr">
        <is>
          <t>Usuario Administrativo autenticado; caso de reintegro del folio 2026-0150 creado.</t>
        </is>
      </c>
      <c r="I154" s="2" t="inlineStr">
        <is>
          <t>1. Registrar en el caso: solicitud de RECA, FECHA RECA 01/04/2026, tipo RECA 'EP', N° RECA 2026-0042, solicitud de medidas = Sí, detalle de solicitudes/verificación de medidas, FECHA MEDIDAS 10/04/2026, FECHA VERIFICACION 25/04/2026, RIESGOS 'Riesgo psicosocial', RAZON SOCIAL 'Constructora Andes Ltda.'. 2. Guardar. 3. Consultar el caso vía GET /api/v1 y en la vista de detalle. 4. Desplegar los campos de solicitud/verificación de medidas e intentar ingresar el valor libre 'QUIZÁS'.</t>
        </is>
      </c>
      <c r="J154" s="2" t="inlineStr">
        <is>
          <t>Las 10 columnas de RECA/medidas de la hoja Excel tienen equivalente en el módulo y se persisten y recuperan sin pérdida; los campos de solicitud/verificación (sí/no) son catálogos cerrados que solo aceptan los valores Sí y No, rechazando valores libres.</t>
        </is>
      </c>
      <c r="K154" s="2" t="inlineStr"/>
      <c r="L154" s="2" t="inlineStr"/>
      <c r="M154" s="2" t="inlineStr">
        <is>
          <t>P0</t>
        </is>
      </c>
      <c r="N154" s="4" t="inlineStr">
        <is>
          <t>Major</t>
        </is>
      </c>
      <c r="O154" s="2" t="inlineStr"/>
      <c r="P154" s="2" t="inlineStr"/>
      <c r="Q154" s="2" t="inlineStr">
        <is>
          <t>PLANILLA</t>
        </is>
      </c>
    </row>
    <row r="155">
      <c r="A155" s="2" t="inlineStr">
        <is>
          <t>EPIC-04</t>
        </is>
      </c>
      <c r="B155" s="2" t="inlineStr">
        <is>
          <t>TC-CEPA-042-001</t>
        </is>
      </c>
      <c r="C155" s="2" t="inlineStr">
        <is>
          <t>Functional</t>
        </is>
      </c>
      <c r="D155" s="2" t="inlineStr">
        <is>
          <t>Reintegro total</t>
        </is>
      </c>
      <c r="E155" s="2" t="inlineStr">
        <is>
          <t>Registro de estado de reintegro</t>
        </is>
      </c>
      <c r="F155" s="2" t="inlineStr">
        <is>
          <t>Verificar que al marcar estado = Total con fecha de reintegro en un caso con RECA y medidas verificadas, el sistema registra el término de la LM y refleja 'reintegro total' en la vista de reintegro y en auditoría.</t>
        </is>
      </c>
      <c r="G155" s="2" t="inlineStr">
        <is>
          <t>Web</t>
        </is>
      </c>
      <c r="H155" s="2" t="inlineStr">
        <is>
          <t>Usuario Administrativo autenticado; caso del folio 2026-0150 con RECA (fecha 01/04/2026) y medidas correctivas verificadas.</t>
        </is>
      </c>
      <c r="I155" s="2" t="inlineStr">
        <is>
          <t>1. Abrir el caso de reintegro del folio 2026-0150. 2. Seleccionar estado del reintegro = 'Total'. 3. Ingresar fecha de reintegro (término de LM) 30/05/2026. 4. Hacer clic en 'Guardar'. 5. Consultar la vista de gestión de reintegro. 6. Consultar la vista de auditoría (§7.5.3) para el mismo folio.</t>
        </is>
      </c>
      <c r="J155" s="2" t="inlineStr">
        <is>
          <t>El sistema registra el término de la LM con fecha 30/05/2026 y el caso muestra 'reintegro total' tanto en la vista de gestión de reintegro como en la vista de auditoría.</t>
        </is>
      </c>
      <c r="K155" s="2" t="inlineStr"/>
      <c r="L155" s="2" t="inlineStr"/>
      <c r="M155" s="2" t="inlineStr">
        <is>
          <t>P0</t>
        </is>
      </c>
      <c r="N155" s="3" t="inlineStr">
        <is>
          <t>Critical</t>
        </is>
      </c>
      <c r="O155" s="2" t="inlineStr"/>
      <c r="P155" s="2" t="inlineStr"/>
      <c r="Q155" s="2" t="inlineStr">
        <is>
          <t>S1</t>
        </is>
      </c>
    </row>
    <row r="156">
      <c r="A156" s="2" t="inlineStr">
        <is>
          <t>EPIC-04</t>
        </is>
      </c>
      <c r="B156" s="2" t="inlineStr">
        <is>
          <t>TC-CEPA-042-002</t>
        </is>
      </c>
      <c r="C156" s="2" t="inlineStr">
        <is>
          <t>Functional</t>
        </is>
      </c>
      <c r="D156" s="2" t="inlineStr">
        <is>
          <t>Reintegro parcial</t>
        </is>
      </c>
      <c r="E156" s="2" t="inlineStr">
        <is>
          <t>Registro de estado de reintegro</t>
        </is>
      </c>
      <c r="F156" s="2" t="inlineStr">
        <is>
          <t>Verificar que un caso con estado = Parcial puede guardarse sin fecha de reintegro (LM vigente) y que el caso permanece abierto.</t>
        </is>
      </c>
      <c r="G156" s="2" t="inlineStr">
        <is>
          <t>Web</t>
        </is>
      </c>
      <c r="H156" s="2" t="inlineStr">
        <is>
          <t>Usuario Administrativo autenticado; caso de reintegro en evaluación con RECA registrada.</t>
        </is>
      </c>
      <c r="I156" s="2" t="inlineStr">
        <is>
          <t>1. Abrir el caso de reintegro. 2. Seleccionar estado del reintegro = 'Parcial'. 3. Dejar vacía la fecha de reintegro. 4. Hacer clic en 'Guardar'. 5. Consultar el estado del caso en la vista de gestión de reintegro.</t>
        </is>
      </c>
      <c r="J156" s="2" t="inlineStr">
        <is>
          <t>El sistema permite guardar el reintegro parcial sin fecha de reintegro (sin término total de LM); el caso permanece en estado abierto con LM vigente.</t>
        </is>
      </c>
      <c r="K156" s="2" t="inlineStr"/>
      <c r="L156" s="2" t="inlineStr"/>
      <c r="M156" s="2" t="inlineStr">
        <is>
          <t>P0</t>
        </is>
      </c>
      <c r="N156" s="4" t="inlineStr">
        <is>
          <t>Major</t>
        </is>
      </c>
      <c r="O156" s="2" t="inlineStr"/>
      <c r="P156" s="2" t="inlineStr"/>
      <c r="Q156" s="2" t="inlineStr">
        <is>
          <t>S2</t>
        </is>
      </c>
    </row>
    <row r="157">
      <c r="A157" s="2" t="inlineStr">
        <is>
          <t>EPIC-04</t>
        </is>
      </c>
      <c r="B157" s="2" t="inlineStr">
        <is>
          <t>TC-CEPA-042-003</t>
        </is>
      </c>
      <c r="C157" s="2" t="inlineStr">
        <is>
          <t>Functional</t>
        </is>
      </c>
      <c r="D157" s="2" t="inlineStr">
        <is>
          <t>Cierre con altas</t>
        </is>
      </c>
      <c r="E157" s="2" t="inlineStr">
        <is>
          <t>Motor de cierre de caso</t>
        </is>
      </c>
      <c r="F157" s="2" t="inlineStr">
        <is>
          <t>Verificar que al registrar alta médica y alta psicológica con tipo de alta en un caso con reintegro total, el caso queda cerrado y la fecha de reintegro no puede ser anterior a la fecha de RECA.</t>
        </is>
      </c>
      <c r="G157" s="2" t="inlineStr">
        <is>
          <t>Web</t>
        </is>
      </c>
      <c r="H157" s="2" t="inlineStr">
        <is>
          <t>Usuario Administrativo autenticado; caso con reintegro total registrado y RECA con fecha 01/04/2026.</t>
        </is>
      </c>
      <c r="I157" s="2" t="inlineStr">
        <is>
          <t>1. Abrir el caso con reintegro total. 2. Marcar alta médica = Sí con fecha 30/05/2026 y alta psicológica = Sí con fecha 30/05/2026. 3. Seleccionar tipo de alta 'Alta terapéutica'. 4. Hacer clic en 'Guardar'. 5. Editar la fecha de reintegro a 15/03/2026 (anterior a la fecha de RECA 01/04/2026) e intentar guardar. 6. Consultar el estado final del caso.</t>
        </is>
      </c>
      <c r="J157" s="2" t="inlineStr">
        <is>
          <t>Con las altas y el tipo de alta registrados, el caso queda en estado cerrado; el intento de fijar fecha de reintegro 15/03/2026 (anterior a la RECA) es rechazado con mensaje de incoherencia temporal.</t>
        </is>
      </c>
      <c r="K157" s="2" t="inlineStr"/>
      <c r="L157" s="2" t="inlineStr"/>
      <c r="M157" s="2" t="inlineStr">
        <is>
          <t>P0</t>
        </is>
      </c>
      <c r="N157" s="3" t="inlineStr">
        <is>
          <t>Critical</t>
        </is>
      </c>
      <c r="O157" s="2" t="inlineStr"/>
      <c r="P157" s="2" t="inlineStr"/>
      <c r="Q157" s="2" t="inlineStr">
        <is>
          <t>S1</t>
        </is>
      </c>
    </row>
    <row r="158">
      <c r="A158" s="2" t="inlineStr">
        <is>
          <t>EPIC-04</t>
        </is>
      </c>
      <c r="B158" s="2" t="inlineStr">
        <is>
          <t>TC-CEPA-042-004</t>
        </is>
      </c>
      <c r="C158" s="2" t="inlineStr">
        <is>
          <t>Security</t>
        </is>
      </c>
      <c r="D158" s="2" t="inlineStr">
        <is>
          <t>Consulta solo lectura Auditor</t>
        </is>
      </c>
      <c r="E158" s="2" t="inlineStr">
        <is>
          <t>Vista de consulta de cierre de caso</t>
        </is>
      </c>
      <c r="F158" s="2" t="inlineStr">
        <is>
          <t>Verificar que el Auditor visualiza el estado de reintegro, fechas, remisión a ISL y altas de un caso cerrado en modo solo lectura.</t>
        </is>
      </c>
      <c r="G158" s="2" t="inlineStr">
        <is>
          <t>Web</t>
        </is>
      </c>
      <c r="H158" s="2" t="inlineStr">
        <is>
          <t>Usuario con perfil Auditor autenticado; caso cerrado con remitido a ISL = Sí, reintegro total, fecha de reintegro y altas registradas.</t>
        </is>
      </c>
      <c r="I158" s="2" t="inlineStr">
        <is>
          <t>1. Iniciar sesión con perfil Auditor. 2. Navegar al módulo Seguimiento de Reintegro y abrir el caso cerrado. 3. Revisar estado de reintegro, fecha de reintegro, indicador de remitido a ISL, altas médica/psicológica y tipo de alta. 4. Intentar interactuar con los campos.</t>
        </is>
      </c>
      <c r="J158" s="2" t="inlineStr">
        <is>
          <t>El Auditor visualiza el estado de reintegro, las fechas, la remisión a ISL y las altas completas; todos los campos se presentan en modo solo lectura sin controles de edición.</t>
        </is>
      </c>
      <c r="K158" s="2" t="inlineStr"/>
      <c r="L158" s="2" t="inlineStr"/>
      <c r="M158" s="2" t="inlineStr">
        <is>
          <t>P0</t>
        </is>
      </c>
      <c r="N158" s="4" t="inlineStr">
        <is>
          <t>Major</t>
        </is>
      </c>
      <c r="O158" s="2" t="inlineStr"/>
      <c r="P158" s="2" t="inlineStr"/>
      <c r="Q158" s="2" t="inlineStr">
        <is>
          <t>S3</t>
        </is>
      </c>
    </row>
    <row r="159">
      <c r="A159" s="2" t="inlineStr">
        <is>
          <t>EPIC-04</t>
        </is>
      </c>
      <c r="B159" s="2" t="inlineStr">
        <is>
          <t>TC-CEPA-042-005</t>
        </is>
      </c>
      <c r="C159" s="2" t="inlineStr">
        <is>
          <t>Business Rules</t>
        </is>
      </c>
      <c r="D159" s="2" t="inlineStr">
        <is>
          <t>Total exige fecha</t>
        </is>
      </c>
      <c r="E159" s="2" t="inlineStr">
        <is>
          <t>Registro de estado de reintegro</t>
        </is>
      </c>
      <c r="F159" s="2" t="inlineStr">
        <is>
          <t>Verificar que el estado de reintegro 'Total' exige la fecha de reintegro (término de LM) y que el guardado sin fecha es bloqueado.</t>
        </is>
      </c>
      <c r="G159" s="2" t="inlineStr">
        <is>
          <t>Web</t>
        </is>
      </c>
      <c r="H159" s="2" t="inlineStr">
        <is>
          <t>Usuario Administrativo autenticado; caso de reintegro con RECA y medidas verificadas.</t>
        </is>
      </c>
      <c r="I159" s="2" t="inlineStr">
        <is>
          <t>1. Abrir el caso de reintegro. 2. Seleccionar estado del reintegro = 'Total'. 3. Dejar vacía la fecha de reintegro. 4. Hacer clic en 'Guardar'.</t>
        </is>
      </c>
      <c r="J159" s="2" t="inlineStr">
        <is>
          <t>El sistema bloquea el guardado indicando que la fecha de reintegro (término de LM) es obligatoria para el estado 'Total'; el estado no se persiste sin fecha.</t>
        </is>
      </c>
      <c r="K159" s="2" t="inlineStr"/>
      <c r="L159" s="2" t="inlineStr"/>
      <c r="M159" s="2" t="inlineStr">
        <is>
          <t>P0</t>
        </is>
      </c>
      <c r="N159" s="4" t="inlineStr">
        <is>
          <t>Major</t>
        </is>
      </c>
      <c r="O159" s="2" t="inlineStr"/>
      <c r="P159" s="2" t="inlineStr"/>
      <c r="Q159" s="2" t="inlineStr">
        <is>
          <t>BR-1</t>
        </is>
      </c>
    </row>
    <row r="160">
      <c r="A160" s="2" t="inlineStr">
        <is>
          <t>EPIC-04</t>
        </is>
      </c>
      <c r="B160" s="2" t="inlineStr">
        <is>
          <t>TC-CEPA-042-006</t>
        </is>
      </c>
      <c r="C160" s="2" t="inlineStr">
        <is>
          <t>Business Rules</t>
        </is>
      </c>
      <c r="D160" s="2" t="inlineStr">
        <is>
          <t>Coherencia temporal</t>
        </is>
      </c>
      <c r="E160" s="2" t="inlineStr">
        <is>
          <t>Validador de coherencia de fechas</t>
        </is>
      </c>
      <c r="F160" s="2" t="inlineStr">
        <is>
          <t>Verificar que la fecha de reintegro no puede ser anterior a la fecha de RECA ni a la fecha del caso; una fecha incoherente es rechazada.</t>
        </is>
      </c>
      <c r="G160" s="2" t="inlineStr">
        <is>
          <t>Web</t>
        </is>
      </c>
      <c r="H160" s="2" t="inlineStr">
        <is>
          <t>Usuario Administrativo autenticado; caso con fecha de caso 15/03/2026 y RECA con fecha 01/04/2026.</t>
        </is>
      </c>
      <c r="I160" s="2" t="inlineStr">
        <is>
          <t>1. Abrir el caso de reintegro. 2. Seleccionar estado = 'Total' e ingresar fecha de reintegro 15/03/2026 (anterior a la RECA del 01/04/2026). 3. Hacer clic en 'Guardar'. 4. Corregir la fecha de reintegro a 10/03/2026 (anterior también a la fecha del caso). 5. Hacer clic en 'Guardar'. 6. Ingresar fecha de reintegro 30/05/2026 y guardar.</t>
        </is>
      </c>
      <c r="J160" s="2" t="inlineStr">
        <is>
          <t>Las fechas 15/03/2026 y 10/03/2026 son rechazadas con mensaje de incoherencia temporal (fecha de reintegro &gt;= fecha de RECA y &gt;= fecha del caso); la fecha 30/05/2026 es aceptada y guardada.</t>
        </is>
      </c>
      <c r="K160" s="2" t="inlineStr"/>
      <c r="L160" s="2" t="inlineStr"/>
      <c r="M160" s="2" t="inlineStr">
        <is>
          <t>P0</t>
        </is>
      </c>
      <c r="N160" s="4" t="inlineStr">
        <is>
          <t>Major</t>
        </is>
      </c>
      <c r="O160" s="2" t="inlineStr"/>
      <c r="P160" s="2" t="inlineStr"/>
      <c r="Q160" s="2" t="inlineStr">
        <is>
          <t>BR-2</t>
        </is>
      </c>
    </row>
    <row r="161">
      <c r="A161" s="2" t="inlineStr">
        <is>
          <t>EPIC-04</t>
        </is>
      </c>
      <c r="B161" s="2" t="inlineStr">
        <is>
          <t>TC-CEPA-042-007</t>
        </is>
      </c>
      <c r="C161" s="2" t="inlineStr">
        <is>
          <t>Business Rules</t>
        </is>
      </c>
      <c r="D161" s="2" t="inlineStr">
        <is>
          <t>Cierre requiere alta y tipo (D11)</t>
        </is>
      </c>
      <c r="E161" s="2" t="inlineStr">
        <is>
          <t>Motor de cierre de caso</t>
        </is>
      </c>
      <c r="F161" s="2" t="inlineStr">
        <is>
          <t>Verificar que el cierre del caso requiere al menos un alta (médica o psicológica) registrada con tipo de alta, y que sin ellas el cierre es bloqueado.</t>
        </is>
      </c>
      <c r="G161" s="2" t="inlineStr">
        <is>
          <t>Web</t>
        </is>
      </c>
      <c r="H161" s="2" t="inlineStr">
        <is>
          <t>Usuario Administrativo autenticado; caso con reintegro total y fecha de reintegro registrada, sin altas ni tipo de alta.</t>
        </is>
      </c>
      <c r="I161" s="2" t="inlineStr">
        <is>
          <t>1. Abrir el caso con reintegro total. 2. Intentar cerrar el caso sin registrar alta médica ni psicológica ni tipo de alta. 3. Registrar alta médica = Sí con fecha 30/05/2026, dejando el tipo de alta vacío. 4. Intentar cerrar nuevamente. 5. Seleccionar tipo de alta 'Alta médica' e intentar cerrar.</t>
        </is>
      </c>
      <c r="J161" s="2" t="inlineStr">
        <is>
          <t>Los dos primeros intentos de cierre son bloqueados con mensaje indicando que se requiere al menos un alta registrada y el tipo de alta obligatorio (RN-4 / D11); el tercer intento cierra el caso correctamente.</t>
        </is>
      </c>
      <c r="K161" s="2" t="inlineStr"/>
      <c r="L161" s="2" t="inlineStr"/>
      <c r="M161" s="2" t="inlineStr">
        <is>
          <t>P0</t>
        </is>
      </c>
      <c r="N161" s="4" t="inlineStr">
        <is>
          <t>Major</t>
        </is>
      </c>
      <c r="O161" s="2" t="inlineStr"/>
      <c r="P161" s="2" t="inlineStr"/>
      <c r="Q161" s="2" t="inlineStr">
        <is>
          <t>BR-4</t>
        </is>
      </c>
    </row>
    <row r="162">
      <c r="A162" s="2" t="inlineStr">
        <is>
          <t>EPIC-04</t>
        </is>
      </c>
      <c r="B162" s="2" t="inlineStr">
        <is>
          <t>TC-CEPA-042-008</t>
        </is>
      </c>
      <c r="C162" s="2" t="inlineStr">
        <is>
          <t>Business Rules</t>
        </is>
      </c>
      <c r="D162" s="2" t="inlineStr">
        <is>
          <t>Remisión a ISL</t>
        </is>
      </c>
      <c r="E162" s="2" t="inlineStr">
        <is>
          <t>Indicador de remisión a ISL</t>
        </is>
      </c>
      <c r="F162" s="2" t="inlineStr">
        <is>
          <t>Verificar que 'Remitido a ISL' es un campo sí/no y que al marcarlo en Sí el caso queda disponible para el reporte de auditoría/contraparte.</t>
        </is>
      </c>
      <c r="G162" s="2" t="inlineStr">
        <is>
          <t>Web</t>
        </is>
      </c>
      <c r="H162" s="2" t="inlineStr">
        <is>
          <t>Usuario Administrativo autenticado; caso de reintegro registrado con RECA; acceso al reporte de auditoría/contraparte.</t>
        </is>
      </c>
      <c r="I162" s="2" t="inlineStr">
        <is>
          <t>1. Abrir el caso de reintegro. 2. Verificar que el campo 'Remitido a ISL' solo ofrece los valores Sí y No. 3. Marcar 'Remitido a ISL' = Sí y guardar. 4. Generar/consultar el reporte de auditoría/contraparte. 5. Buscar el caso en el reporte.</t>
        </is>
      </c>
      <c r="J162" s="2" t="inlineStr">
        <is>
          <t>El campo solo admite Sí/No (catálogo cerrado); con Sí guardado, el caso aparece disponible en el reporte de auditoría/contraparte con su indicador de remisión al ISL.</t>
        </is>
      </c>
      <c r="K162" s="2" t="inlineStr"/>
      <c r="L162" s="2" t="inlineStr"/>
      <c r="M162" s="2" t="inlineStr">
        <is>
          <t>P0</t>
        </is>
      </c>
      <c r="N162" s="5" t="inlineStr">
        <is>
          <t>Medium</t>
        </is>
      </c>
      <c r="O162" s="2" t="inlineStr"/>
      <c r="P162" s="2" t="inlineStr"/>
      <c r="Q162" s="2" t="inlineStr">
        <is>
          <t>BR-5</t>
        </is>
      </c>
    </row>
    <row r="163">
      <c r="A163" s="2" t="inlineStr">
        <is>
          <t>EPIC-04</t>
        </is>
      </c>
      <c r="B163" s="2" t="inlineStr">
        <is>
          <t>TC-CEPA-042-009</t>
        </is>
      </c>
      <c r="C163" s="2" t="inlineStr">
        <is>
          <t>Security</t>
        </is>
      </c>
      <c r="D163" s="2" t="inlineStr">
        <is>
          <t>RBAC y auditoría</t>
        </is>
      </c>
      <c r="E163" s="2" t="inlineStr">
        <is>
          <t>Control de acceso por perfil (RBAC)</t>
        </is>
      </c>
      <c r="F163" s="2" t="inlineStr">
        <is>
          <t>Verificar que el Auditor no puede modificar el estado de reintegro ni las altas, y que las modificaciones válidas quedan registradas en el log de auditoría.</t>
        </is>
      </c>
      <c r="G163" s="2" t="inlineStr">
        <is>
          <t>Web/API</t>
        </is>
      </c>
      <c r="H163" s="2" t="inlineStr">
        <is>
          <t>Caso de reintegro con estado y altas registradas; cuentas de Auditor y Administrativo disponibles.</t>
        </is>
      </c>
      <c r="I163" s="2" t="inlineStr">
        <is>
          <t>1. Iniciar sesión con perfil Auditor y abrir el caso. 2. Intentar modificar el estado de reintegro y las altas desde la UI. 3. Enviar vía API una petición PUT /api/v1 de actualización de estado con el token del Auditor. 4. Iniciar sesión como Administrativo, cambiar el estado de 'Parcial' a 'Total' con fecha 30/05/2026 y guardar. 5. Consultar el log de auditoría del caso.</t>
        </is>
      </c>
      <c r="J163" s="2" t="inlineStr">
        <is>
          <t>La modificación del Auditor es denegada en UI y la petición API retorna 403; el cambio del Administrativo se guarda y el log de auditoría registra usuario, cambio de estado y fecha/hora.</t>
        </is>
      </c>
      <c r="K163" s="2" t="inlineStr"/>
      <c r="L163" s="2" t="inlineStr"/>
      <c r="M163" s="2" t="inlineStr">
        <is>
          <t>P0</t>
        </is>
      </c>
      <c r="N163" s="3" t="inlineStr">
        <is>
          <t>Critical</t>
        </is>
      </c>
      <c r="O163" s="2" t="inlineStr"/>
      <c r="P163" s="2" t="inlineStr"/>
      <c r="Q163" s="2" t="inlineStr">
        <is>
          <t>BR-6</t>
        </is>
      </c>
    </row>
    <row r="164">
      <c r="A164" s="2" t="inlineStr">
        <is>
          <t>EPIC-04</t>
        </is>
      </c>
      <c r="B164" s="2" t="inlineStr">
        <is>
          <t>TC-CEPA-042-010</t>
        </is>
      </c>
      <c r="C164" s="2" t="inlineStr">
        <is>
          <t>Data Integrity</t>
        </is>
      </c>
      <c r="D164" s="2" t="inlineStr">
        <is>
          <t>Cobertura de columnas de cierre y catálogos</t>
        </is>
      </c>
      <c r="E164" s="2" t="inlineStr">
        <is>
          <t>Modelo de datos de reintegro y cierre</t>
        </is>
      </c>
      <c r="F164" s="2" t="inlineStr">
        <is>
          <t>Verificar que el módulo captura las columnas de cierre de la hoja 'Seguimiento Reintegro' (REINTEGRO, FECHA REINTEGRO (T.LM), REMITIDO A ISL, ESTADO, ALTA MEDICA/CIERRE, ALTA PSICOLOGICA/CIERRE, TIPO DE ALTA, OBSERVACIÓN) y que los valores de lista (estado de reintegro, sí/no, S/D) se manejan como catálogos cerrados.</t>
        </is>
      </c>
      <c r="G164" s="2" t="inlineStr">
        <is>
          <t>Web/API</t>
        </is>
      </c>
      <c r="H164" s="2" t="inlineStr">
        <is>
          <t>Usuario Administrativo autenticado; caso con RECA y medidas verificadas.</t>
        </is>
      </c>
      <c r="I164" s="2" t="inlineStr">
        <is>
          <t>1. Registrar en el caso: REINTEGRO 'Total', FECHA REINTEGRO (T.LM) 30/05/2026, REMITIDO A ISL 'Sí', ALTA MEDICA 'Sí' 30/05/2026, ALTA PSICOLOGICA 'Sí' 30/05/2026, TIPO DE ALTA 'Alta terapéutica', OBSERVACIÓN 'Cierre con reintegro completo'. 2. Guardar y consultar el caso vía GET /api/v1. 3. Desplegar el campo estado de reintegro y verificar sus valores disponibles. 4. Desplegar los campos sí/no (remitido a ISL, altas) e intentar ingresar un valor libre. 5. Verificar cómo se representa la ausencia de dato (equivalente al 'S/D' de la planilla).</t>
        </is>
      </c>
      <c r="J164" s="2" t="inlineStr">
        <is>
          <t>Las 8 columnas de cierre de la hoja Excel tienen equivalente en el módulo y se persisten/recuperan sin pérdida; estado de reintegro es catálogo cerrado {pendiente, parcial, total}, los campos sí/no solo aceptan Sí/No, y la ausencia de dato ('S/D') se representa de forma controlada (valor de catálogo o nulo explícito) sin texto libre.</t>
        </is>
      </c>
      <c r="K164" s="2" t="inlineStr"/>
      <c r="L164" s="2" t="inlineStr"/>
      <c r="M164" s="2" t="inlineStr">
        <is>
          <t>P0</t>
        </is>
      </c>
      <c r="N164" s="4" t="inlineStr">
        <is>
          <t>Major</t>
        </is>
      </c>
      <c r="O164" s="2" t="inlineStr"/>
      <c r="P164" s="2" t="inlineStr"/>
      <c r="Q164" s="2" t="inlineStr">
        <is>
          <t>PLANILLA</t>
        </is>
      </c>
    </row>
    <row r="165">
      <c r="A165" s="2" t="inlineStr">
        <is>
          <t>EPIC-05</t>
        </is>
      </c>
      <c r="B165" s="2" t="inlineStr">
        <is>
          <t>TC-CEPA-050-001</t>
        </is>
      </c>
      <c r="C165" s="2" t="inlineStr">
        <is>
          <t>Functional</t>
        </is>
      </c>
      <c r="D165" s="2" t="inlineStr">
        <is>
          <t>Consolidación de caso</t>
        </is>
      </c>
      <c r="E165" s="2" t="inlineStr">
        <is>
          <t>Vista consolidada de auditoría</t>
        </is>
      </c>
      <c r="F165" s="2" t="inlineStr">
        <is>
          <t>Verificar que al buscar un caso por folio, RUT o número de siniestro y abrir la vista consolidada, el sistema muestra en una sola pantalla los datos del caso (§7.5.1), el seguimiento de evaluaciones (§7.5.2), los controles y tratamiento (§7.5.3) y el cierre (§7.5.4), consolidados desde los módulos de origen.</t>
        </is>
      </c>
      <c r="G165" s="2" t="inlineStr">
        <is>
          <t>Web</t>
        </is>
      </c>
      <c r="H165" s="2" t="inlineStr">
        <is>
          <t>Usuario con perfil Auditor autenticado; caso con folio 2026-0123 con datos registrados en los módulos Ingresos, Fármacos, Reintegro, Controles y Licencias.</t>
        </is>
      </c>
      <c r="I165" s="2" t="inlineStr">
        <is>
          <t>1. Iniciar sesión como Auditor. 2. Navegar al módulo de Auditoría. 3. Ingresar el folio 2026-0123 en el buscador y ejecutar la búsqueda. 4. Abrir la vista consolidada del caso. 5. Repetir la búsqueda del mismo caso usando el RUT 12.345.678-5 y luego el número de siniestro 4501234.</t>
        </is>
      </c>
      <c r="J165" s="2" t="inlineStr">
        <is>
          <t>La vista consolidada muestra en una sola pantalla las cuatro secciones: datos del caso (folio, nº siniestro, fecha y tipo de denuncia, fecha de derivación, nombre, RUT, región), seguimiento de evaluaciones (fechas de evaluación médica/psicológica, fecha de calificación RECA, diagnóstico inicial y post-RECA, nº sesiones), controles y tratamiento (fechas 1ª consulta médica/psicológica, nº sesiones médicas/psicológicas/ampliación, reintegro parcial y total) y cierre (altas médica/psicológica/terapéutica, estado, observaciones). Los datos coinciden con los registrados en los módulos fuente y la búsqueda funciona por folio, RUT y número de siniestro.</t>
        </is>
      </c>
      <c r="K165" s="2" t="inlineStr"/>
      <c r="L165" s="2" t="inlineStr"/>
      <c r="M165" s="2" t="inlineStr">
        <is>
          <t>P0</t>
        </is>
      </c>
      <c r="N165" s="3" t="inlineStr">
        <is>
          <t>Critical</t>
        </is>
      </c>
      <c r="O165" s="2" t="inlineStr"/>
      <c r="P165" s="2" t="inlineStr"/>
      <c r="Q165" s="2" t="inlineStr">
        <is>
          <t>S1</t>
        </is>
      </c>
    </row>
    <row r="166">
      <c r="A166" s="2" t="inlineStr">
        <is>
          <t>EPIC-05</t>
        </is>
      </c>
      <c r="B166" s="2" t="inlineStr">
        <is>
          <t>TC-CEPA-050-002</t>
        </is>
      </c>
      <c r="C166" s="2" t="inlineStr">
        <is>
          <t>Functional</t>
        </is>
      </c>
      <c r="D166" s="2" t="inlineStr">
        <is>
          <t>Diferenciación por siniestro</t>
        </is>
      </c>
      <c r="E166" s="2" t="inlineStr">
        <is>
          <t>Vista consolidada de auditoría</t>
        </is>
      </c>
      <c r="F166" s="2" t="inlineStr">
        <is>
          <t>Verificar que cuando un usuario tiene dos denuncias bajo el mismo RUT con distinto número de siniestro, cada siniestro se presenta como un caso diferenciado sin mezclar sus hitos.</t>
        </is>
      </c>
      <c r="G166" s="2" t="inlineStr">
        <is>
          <t>Web</t>
        </is>
      </c>
      <c r="H166" s="2" t="inlineStr">
        <is>
          <t>Usuario con perfil Auditor autenticado; trabajador con RUT 16.284.365-6 con dos denuncias registradas: DIAT 2020 (siniestro 3200015) y DIEP 2026 (siniestro 4600321), cada una con hitos propios.</t>
        </is>
      </c>
      <c r="I166" s="2" t="inlineStr">
        <is>
          <t>1. Iniciar sesión como Auditor. 2. Navegar al módulo de Auditoría. 3. Buscar por RUT 16.284.365-6. 4. Revisar el listado de resultados. 5. Abrir la vista consolidada del siniestro 3200015 y registrar los hitos mostrados. 6. Abrir la vista consolidada del siniestro 4600321 y comparar sus hitos con los del anterior.</t>
        </is>
      </c>
      <c r="J166" s="2" t="inlineStr">
        <is>
          <t>La búsqueda por RUT devuelve dos casos diferenciados, uno por cada número de siniestro (DIAT 2020 y DIEP 2026). Cada vista consolidada muestra exclusivamente los hitos (evaluaciones, sesiones, reintegros, altas) del siniestro correspondiente, sin mezcla de datos entre ambos casos.</t>
        </is>
      </c>
      <c r="K166" s="2" t="inlineStr"/>
      <c r="L166" s="2" t="inlineStr"/>
      <c r="M166" s="2" t="inlineStr">
        <is>
          <t>P0</t>
        </is>
      </c>
      <c r="N166" s="3" t="inlineStr">
        <is>
          <t>Critical</t>
        </is>
      </c>
      <c r="O166" s="2" t="inlineStr"/>
      <c r="P166" s="2" t="inlineStr"/>
      <c r="Q166" s="2" t="inlineStr">
        <is>
          <t>S2</t>
        </is>
      </c>
    </row>
    <row r="167">
      <c r="A167" s="2" t="inlineStr">
        <is>
          <t>EPIC-05</t>
        </is>
      </c>
      <c r="B167" s="2" t="inlineStr">
        <is>
          <t>TC-CEPA-050-003</t>
        </is>
      </c>
      <c r="C167" s="2" t="inlineStr">
        <is>
          <t>Functional</t>
        </is>
      </c>
      <c r="D167" s="2" t="inlineStr">
        <is>
          <t>Diagnósticos separados</t>
        </is>
      </c>
      <c r="E167" s="2" t="inlineStr">
        <is>
          <t>Vista consolidada de auditoría</t>
        </is>
      </c>
      <c r="F167" s="2" t="inlineStr">
        <is>
          <t>Verificar que cuando un caso tiene diagnóstico inicial y diagnóstico post-RECA distintos, el sistema muestra ambos diagnósticos por separado junto con la fecha de calificación.</t>
        </is>
      </c>
      <c r="G167" s="2" t="inlineStr">
        <is>
          <t>Web</t>
        </is>
      </c>
      <c r="H167" s="2" t="inlineStr">
        <is>
          <t>Usuario con perfil Auditor autenticado; caso con folio 2026-0456 con diagnóstico inicial 'Trastorno adaptativo' y diagnóstico post-RECA 'Episodio depresivo moderado', con fecha de calificación RECA 15-04-2026 registrada.</t>
        </is>
      </c>
      <c r="I167" s="2" t="inlineStr">
        <is>
          <t>1. Iniciar sesión como Auditor. 2. Abrir la vista consolidada del caso con folio 2026-0456. 3. Ubicar la sección de seguimiento de evaluaciones (§7.5.2). 4. Revisar los campos de diagnóstico inicial, diagnóstico post-RECA y fecha de calificación.</t>
        </is>
      </c>
      <c r="J167" s="2" t="inlineStr">
        <is>
          <t>La sección de seguimiento de evaluaciones muestra el diagnóstico inicial ('Trastorno adaptativo') y el diagnóstico post-RECA ('Episodio depresivo moderado') en campos separados y claramente rotulados, junto con la fecha de calificación 15-04-2026 correspondiente a la RECA asociada. Ningún diagnóstico sobrescribe al otro.</t>
        </is>
      </c>
      <c r="K167" s="2" t="inlineStr"/>
      <c r="L167" s="2" t="inlineStr"/>
      <c r="M167" s="2" t="inlineStr">
        <is>
          <t>P0</t>
        </is>
      </c>
      <c r="N167" s="4" t="inlineStr">
        <is>
          <t>Major</t>
        </is>
      </c>
      <c r="O167" s="2" t="inlineStr"/>
      <c r="P167" s="2" t="inlineStr"/>
      <c r="Q167" s="2" t="inlineStr">
        <is>
          <t>S1</t>
        </is>
      </c>
    </row>
    <row r="168">
      <c r="A168" s="2" t="inlineStr">
        <is>
          <t>EPIC-05</t>
        </is>
      </c>
      <c r="B168" s="2" t="inlineStr">
        <is>
          <t>TC-CEPA-050-004</t>
        </is>
      </c>
      <c r="C168" s="2" t="inlineStr">
        <is>
          <t>Security</t>
        </is>
      </c>
      <c r="D168" s="2" t="inlineStr">
        <is>
          <t>Solo lectura Auditor</t>
        </is>
      </c>
      <c r="E168" s="2" t="inlineStr">
        <is>
          <t>Control de solo lectura de la vista de auditoría</t>
        </is>
      </c>
      <c r="F168" s="2" t="inlineStr">
        <is>
          <t>Verificar que en la vista consolidada el Auditor no dispone de controles de edición sobre datos clínicos y que cualquier intento de modificación queda denegado.</t>
        </is>
      </c>
      <c r="G168" s="2" t="inlineStr">
        <is>
          <t>Web/API</t>
        </is>
      </c>
      <c r="H168" s="2" t="inlineStr">
        <is>
          <t>Usuario con perfil Auditor autenticado situado en la vista consolidada del caso con folio 2026-0123.</t>
        </is>
      </c>
      <c r="I168" s="2" t="inlineStr">
        <is>
          <t>1. Iniciar sesión como Auditor y abrir la vista consolidada del folio 2026-0123. 2. Inspeccionar cada sección (§7.5.1–§7.5.4) buscando botones de edición, guardado o campos habilitados para escritura. 3. Intentar hacer clic/foco sobre los campos diagnóstico, nº de sesiones, fechas y altas. 4. Enviar por API una petición de modificación (PUT/PATCH) al endpoint del caso con el token del Auditor intentando cambiar el diagnóstico.</t>
        </is>
      </c>
      <c r="J168" s="2" t="inlineStr">
        <is>
          <t>La vista no ofrece ningún control de edición: no hay botones de guardar/editar y los campos son de solo lectura. La petición de modificación por API es rechazada con error de autorización (403), sin que se altere ningún dato clínico.</t>
        </is>
      </c>
      <c r="K168" s="2" t="inlineStr"/>
      <c r="L168" s="2" t="inlineStr"/>
      <c r="M168" s="2" t="inlineStr">
        <is>
          <t>P0</t>
        </is>
      </c>
      <c r="N168" s="3" t="inlineStr">
        <is>
          <t>Critical</t>
        </is>
      </c>
      <c r="O168" s="2" t="inlineStr"/>
      <c r="P168" s="2" t="inlineStr"/>
      <c r="Q168" s="2" t="inlineStr">
        <is>
          <t>S3</t>
        </is>
      </c>
    </row>
    <row r="169">
      <c r="A169" s="2" t="inlineStr">
        <is>
          <t>EPIC-05</t>
        </is>
      </c>
      <c r="B169" s="2" t="inlineStr">
        <is>
          <t>TC-CEPA-050-005</t>
        </is>
      </c>
      <c r="C169" s="2" t="inlineStr">
        <is>
          <t>Functional</t>
        </is>
      </c>
      <c r="D169" s="2" t="inlineStr">
        <is>
          <t>Cierre pendiente</t>
        </is>
      </c>
      <c r="E169" s="2" t="inlineStr">
        <is>
          <t>Vista consolidada de auditoría</t>
        </is>
      </c>
      <c r="F169" s="2" t="inlineStr">
        <is>
          <t>Verificar que un caso aún en tratamiento sin altas registradas muestra la sección de cierre como pendiente/vacía sin bloquear la visualización del resto de los hitos.</t>
        </is>
      </c>
      <c r="G169" s="2" t="inlineStr">
        <is>
          <t>Web</t>
        </is>
      </c>
      <c r="H169" s="2" t="inlineStr">
        <is>
          <t>Usuario con perfil Auditor autenticado; caso con folio 2026-0789 en tratamiento activo, con datos en §7.5.1–§7.5.3 y sin altas ni datos de cierre (§7.5.4) registrados.</t>
        </is>
      </c>
      <c r="I169" s="2" t="inlineStr">
        <is>
          <t>1. Iniciar sesión como Auditor. 2. Buscar el caso con folio 2026-0789. 3. Abrir la vista consolidada. 4. Revisar las secciones de datos del caso, evaluaciones y controles/tratamiento. 5. Revisar la sección de cierre (§7.5.4).</t>
        </is>
      </c>
      <c r="J169" s="2" t="inlineStr">
        <is>
          <t>La vista consolidada carga sin errores: las secciones §7.5.1–§7.5.3 muestran sus datos completos y la sección de cierre se presenta como pendiente/vacía (altas médica, psicológica y terapéutica sin registrar), sin mensajes de error ni bloqueo de la visualización del resto de los hitos.</t>
        </is>
      </c>
      <c r="K169" s="2" t="inlineStr"/>
      <c r="L169" s="2" t="inlineStr"/>
      <c r="M169" s="2" t="inlineStr">
        <is>
          <t>P0</t>
        </is>
      </c>
      <c r="N169" s="4" t="inlineStr">
        <is>
          <t>Major</t>
        </is>
      </c>
      <c r="O169" s="2" t="inlineStr"/>
      <c r="P169" s="2" t="inlineStr"/>
      <c r="Q169" s="2" t="inlineStr">
        <is>
          <t>S2</t>
        </is>
      </c>
    </row>
    <row r="170">
      <c r="A170" s="2" t="inlineStr">
        <is>
          <t>EPIC-05</t>
        </is>
      </c>
      <c r="B170" s="2" t="inlineStr">
        <is>
          <t>TC-CEPA-050-006</t>
        </is>
      </c>
      <c r="C170" s="2" t="inlineStr">
        <is>
          <t>Business Rules</t>
        </is>
      </c>
      <c r="D170" s="2" t="inlineStr">
        <is>
          <t>Coherencia temporal</t>
        </is>
      </c>
      <c r="E170" s="2" t="inlineStr">
        <is>
          <t>Validador de coherencia temporal de hitos</t>
        </is>
      </c>
      <c r="F170" s="2" t="inlineStr">
        <is>
          <t>Verificar que la vista consolidada señala inconsistencias temporales entre los hitos del caso (fecha de denuncia ≤ derivación ≤ evaluaciones ≤ calificación ≤ 1ª consulta de tratamiento ≤ altas) sin corregirlas ni modificar los datos fuente.</t>
        </is>
      </c>
      <c r="G170" s="2" t="inlineStr">
        <is>
          <t>Web</t>
        </is>
      </c>
      <c r="H170" s="2" t="inlineStr">
        <is>
          <t>Usuario con perfil Auditor autenticado; caso con folio 2026-0555 con inconsistencia temporal cargada desde el módulo fuente: fecha de derivación 10-01-2026 anterior a la fecha de denuncia 20-01-2026, y fecha de alta médica 05-02-2026 anterior a la 1ª consulta de tratamiento 10-02-2026.</t>
        </is>
      </c>
      <c r="I170" s="2" t="inlineStr">
        <is>
          <t>1. Iniciar sesión como Auditor. 2. Abrir la vista consolidada del caso con folio 2026-0555. 3. Revisar la secuencia de fechas de los hitos mostrados. 4. Verificar si la vista presenta indicadores/alertas de inconsistencia sobre las fechas fuera de orden. 5. Confirmar en los módulos fuente (Ingresos, Controles) que los datos originales no fueron alterados.</t>
        </is>
      </c>
      <c r="J170" s="2" t="inlineStr">
        <is>
          <t>La vista consolidada muestra los hitos tal como fueron registrados y señala visualmente las inconsistencias temporales detectadas (derivación anterior a denuncia; alta anterior a la 1ª consulta), sin corregir ni modificar los valores en los módulos fuente.</t>
        </is>
      </c>
      <c r="K170" s="2" t="inlineStr"/>
      <c r="L170" s="2" t="inlineStr"/>
      <c r="M170" s="2" t="inlineStr">
        <is>
          <t>P0</t>
        </is>
      </c>
      <c r="N170" s="4" t="inlineStr">
        <is>
          <t>Major</t>
        </is>
      </c>
      <c r="O170" s="2" t="inlineStr"/>
      <c r="P170" s="2" t="inlineStr"/>
      <c r="Q170" s="2" t="inlineStr">
        <is>
          <t>BR-5</t>
        </is>
      </c>
    </row>
    <row r="171">
      <c r="A171" s="2" t="inlineStr">
        <is>
          <t>EPIC-05</t>
        </is>
      </c>
      <c r="B171" s="2" t="inlineStr">
        <is>
          <t>TC-CEPA-050-007</t>
        </is>
      </c>
      <c r="C171" s="2" t="inlineStr">
        <is>
          <t>Business Rules</t>
        </is>
      </c>
      <c r="D171" s="2" t="inlineStr">
        <is>
          <t>Altas parciales</t>
        </is>
      </c>
      <c r="E171" s="2" t="inlineStr">
        <is>
          <t>Sección de cierre de la vista consolidada</t>
        </is>
      </c>
      <c r="F171" s="2" t="inlineStr">
        <is>
          <t>Verificar que la sección de cierre soporta altas parciales: un caso puede tener registrada solo el alta médica, solo la psicológica o la terapéutica, cada una con su indicador sí/no y fecha propia.</t>
        </is>
      </c>
      <c r="G171" s="2" t="inlineStr">
        <is>
          <t>Web</t>
        </is>
      </c>
      <c r="H171" s="2" t="inlineStr">
        <is>
          <t>Usuario con perfil Auditor autenticado; caso A (folio 2026-0601) con alta médica = Sí (fecha 01-06-2026) y alta psicológica/terapéutica sin registrar; caso B (folio 2026-0602) con alta psicológica = Sí (fecha 05-06-2026) y alta médica sin registrar.</t>
        </is>
      </c>
      <c r="I171" s="2" t="inlineStr">
        <is>
          <t>1. Iniciar sesión como Auditor. 2. Abrir la vista consolidada del caso con folio 2026-0601 y revisar la sección de cierre. 3. Abrir la vista consolidada del caso con folio 2026-0602 y revisar la sección de cierre. 4. Comparar los indicadores sí/no y fechas de cada tipo de alta en ambos casos.</t>
        </is>
      </c>
      <c r="J171" s="2" t="inlineStr">
        <is>
          <t>Cada tipo de alta (médica, psicológica, terapéutica) se muestra de forma independiente con su indicador sí/no y su fecha: el caso A muestra solo el alta médica con fecha 01-06-2026 y las demás pendientes; el caso B muestra solo el alta psicológica con fecha 05-06-2026. El estado general del caso refleja el cierre parcial sin marcar el caso como completamente cerrado.</t>
        </is>
      </c>
      <c r="K171" s="2" t="inlineStr"/>
      <c r="L171" s="2" t="inlineStr"/>
      <c r="M171" s="2" t="inlineStr">
        <is>
          <t>P0</t>
        </is>
      </c>
      <c r="N171" s="5" t="inlineStr">
        <is>
          <t>Medium</t>
        </is>
      </c>
      <c r="O171" s="2" t="inlineStr"/>
      <c r="P171" s="2" t="inlineStr"/>
      <c r="Q171" s="2" t="inlineStr">
        <is>
          <t>BR-6</t>
        </is>
      </c>
    </row>
    <row r="172">
      <c r="A172" s="2" t="inlineStr">
        <is>
          <t>EPIC-05</t>
        </is>
      </c>
      <c r="B172" s="2" t="inlineStr">
        <is>
          <t>TC-CEPA-050-008</t>
        </is>
      </c>
      <c r="C172" s="2" t="inlineStr">
        <is>
          <t>Security</t>
        </is>
      </c>
      <c r="D172" s="2" t="inlineStr">
        <is>
          <t>RBAC y log de auditoría</t>
        </is>
      </c>
      <c r="E172" s="2" t="inlineStr">
        <is>
          <t>Motor RBAC y log de auditoría de accesos</t>
        </is>
      </c>
      <c r="F172" s="2" t="inlineStr">
        <is>
          <t>Verificar que el acceso a la vista consolidada se registra en el log de auditoría (quién consultó qué caso y cuándo), que Coordinación y Auditor acceden, y que un perfil sin permisos de auditoría es denegado.</t>
        </is>
      </c>
      <c r="G172" s="2" t="inlineStr">
        <is>
          <t>Web/API</t>
        </is>
      </c>
      <c r="H172" s="2" t="inlineStr">
        <is>
          <t>Usuarios de prueba con perfiles Auditor, Coordinación y Administrativo (sin permiso al módulo de auditoría); caso con folio 2026-0123 disponible; acceso de verificación al log de auditoría (EPIC-00).</t>
        </is>
      </c>
      <c r="I172" s="2" t="inlineStr">
        <is>
          <t>1. Iniciar sesión como Auditor y abrir la vista consolidada del folio 2026-0123. 2. Cerrar sesión, iniciar como Coordinación y abrir la misma vista. 3. Cerrar sesión, iniciar como Administrativo e intentar abrir la vista consolidada de auditoría (por UI y llamando directamente al endpoint GET /api/v1 de auditoría con su token). 4. Consultar el log de auditoría (EPIC-00) y revisar los registros generados.</t>
        </is>
      </c>
      <c r="J172" s="2" t="inlineStr">
        <is>
          <t>Auditor y Coordinación acceden a la vista consolidada. El Administrativo recibe denegación por RBAC (403) tanto por UI como por API. El log de auditoría registra cada consulta exitosa con usuario, caso (folio) y fecha/hora, y el intento denegado queda igualmente registrado.</t>
        </is>
      </c>
      <c r="K172" s="2" t="inlineStr"/>
      <c r="L172" s="2" t="inlineStr"/>
      <c r="M172" s="2" t="inlineStr">
        <is>
          <t>P0</t>
        </is>
      </c>
      <c r="N172" s="3" t="inlineStr">
        <is>
          <t>Critical</t>
        </is>
      </c>
      <c r="O172" s="2" t="inlineStr"/>
      <c r="P172" s="2" t="inlineStr"/>
      <c r="Q172" s="2" t="inlineStr">
        <is>
          <t>BR-7</t>
        </is>
      </c>
    </row>
    <row r="173">
      <c r="A173" s="2" t="inlineStr">
        <is>
          <t>EPIC-05</t>
        </is>
      </c>
      <c r="B173" s="2" t="inlineStr">
        <is>
          <t>TC-CEPA-050-009</t>
        </is>
      </c>
      <c r="C173" s="2" t="inlineStr">
        <is>
          <t>Data Integrity</t>
        </is>
      </c>
      <c r="D173" s="2" t="inlineStr">
        <is>
          <t>Cobertura de columnas</t>
        </is>
      </c>
      <c r="E173" s="2" t="inlineStr">
        <is>
          <t>Modelo de datos de la vista de auditoría</t>
        </is>
      </c>
      <c r="F173" s="2" t="inlineStr">
        <is>
          <t>Verificar que la vista consolidada de auditoría captura y muestra las 28 columnas de la hoja 'Auditoría' de la planilla original (Anexo 4), sin pérdida de campos en la digitalización.</t>
        </is>
      </c>
      <c r="G173" s="2" t="inlineStr">
        <is>
          <t>Web/API</t>
        </is>
      </c>
      <c r="H173" s="2" t="inlineStr">
        <is>
          <t>Usuario con perfil Auditor autenticado; caso con folio 2026-0123 con datos completos en los módulos fuente; estructura de la hoja 'Auditoría' (28 columnas) disponible como referencia.</t>
        </is>
      </c>
      <c r="I173" s="2" t="inlineStr">
        <is>
          <t>1. Abrir la vista consolidada del caso con folio 2026-0123. 2. Contrastar campo a campo contra las 28 columnas de la hoja: Folio (peritaje), Número de siniestro, Fecha denuncia, Tipo denuncia, Fecha derivación, Nombre Paciente, RUT, Región, Fecha evaluación médica, Fecha evaluación psicológica, Fecha de Calificación, Diagnóstico, Diagnóstico Post Reca, Número de sesiones por diagnóstico, Fecha PC médica de tratamiento, Fecha PC psicológica de tratamiento, Fecha próximo CM, Licencia médica, Número de sesiones médicas, Número de sesiones psicológicas, N° sesiones Ampliación de tratamiento, Reintegro progresivo/Parcial, Reintegro total, Alta médica, Alta psicológica, Alta terapéutica, Estado, Observaciones. 3. Consultar el endpoint API de la vista consolidada y verificar que la respuesta incluye todos los campos anteriores.</t>
        </is>
      </c>
      <c r="J173" s="2" t="inlineStr">
        <is>
          <t>Los 28 campos de la hoja 'Auditoría' tienen su equivalente en la vista consolidada (UI y respuesta API), incluyendo los campos adicionales de seguimiento (Fecha próximo CM, Licencia médica, Número de sesiones por diagnóstico). Ningún campo de la planilla original queda sin representación en el sistema.</t>
        </is>
      </c>
      <c r="K173" s="2" t="inlineStr"/>
      <c r="L173" s="2" t="inlineStr"/>
      <c r="M173" s="2" t="inlineStr">
        <is>
          <t>P0</t>
        </is>
      </c>
      <c r="N173" s="4" t="inlineStr">
        <is>
          <t>Major</t>
        </is>
      </c>
      <c r="O173" s="2" t="inlineStr"/>
      <c r="P173" s="2" t="inlineStr"/>
      <c r="Q173" s="2" t="inlineStr">
        <is>
          <t>PLANILLA</t>
        </is>
      </c>
    </row>
    <row r="174">
      <c r="A174" s="2" t="inlineStr">
        <is>
          <t>EPIC-05</t>
        </is>
      </c>
      <c r="B174" s="2" t="inlineStr">
        <is>
          <t>TC-CEPA-050-010</t>
        </is>
      </c>
      <c r="C174" s="2" t="inlineStr">
        <is>
          <t>Data Integrity</t>
        </is>
      </c>
      <c r="D174" s="2" t="inlineStr">
        <is>
          <t>Catálogo cerrado</t>
        </is>
      </c>
      <c r="E174" s="2" t="inlineStr">
        <is>
          <t>Catálogos de valores de la vista de auditoría</t>
        </is>
      </c>
      <c r="F174" s="2" t="inlineStr">
        <is>
          <t>Verificar que los campos tipo lista de la hoja 'Auditoría' se manejan como catálogos cerrados en el sistema: sí/no para reintegros y altas, catálogo de Estado, y el marcador sin-dato 'S/D' representado de forma controlada.</t>
        </is>
      </c>
      <c r="G174" s="2" t="inlineStr">
        <is>
          <t>Web/API</t>
        </is>
      </c>
      <c r="H174" s="2" t="inlineStr">
        <is>
          <t>Usuario con perfil Auditor autenticado; casos de prueba con valores en los campos Reintegro progresivo/Parcial, Reintegro total, Alta médica, Alta psicológica, Alta terapéutica y Estado; al menos un caso migrado desde la planilla con celdas 'S/D'.</t>
        </is>
      </c>
      <c r="I174" s="2" t="inlineStr">
        <is>
          <t>1. Abrir la vista consolidada de un caso con reintegros y altas registrados. 2. Verificar que los campos Reintegro progresivo/Parcial, Reintegro total, Alta médica, Alta psicológica y Alta terapéutica solo presentan valores del catálogo cerrado sí/no (más su fecha asociada). 3. Verificar que el campo Estado solo muestra valores del catálogo definido (ej. activo, cerrado, derivado). 4. Abrir un caso migrado con valores 'S/D' en la planilla original y revisar cómo se presentan esos campos. 5. Consultar por API el caso y verificar que los valores de estos campos pertenecen a los catálogos definidos y que el sin-dato se representa de forma consistente (S/D o vacío controlado), nunca como texto libre arbitrario.</t>
        </is>
      </c>
      <c r="J174" s="2" t="inlineStr">
        <is>
          <t>Los campos sí/no y Estado se comportan como catálogos cerrados: no admiten ni muestran texto libre fuera del catálogo. El marcador 'S/D' de la planilla se representa de manera consistente y distinguible de un 'No' explícito, tanto en UI como en API.</t>
        </is>
      </c>
      <c r="K174" s="2" t="inlineStr"/>
      <c r="L174" s="2" t="inlineStr"/>
      <c r="M174" s="2" t="inlineStr">
        <is>
          <t>P0</t>
        </is>
      </c>
      <c r="N174" s="5" t="inlineStr">
        <is>
          <t>Medium</t>
        </is>
      </c>
      <c r="O174" s="2" t="inlineStr"/>
      <c r="P174" s="2" t="inlineStr"/>
      <c r="Q174" s="2" t="inlineStr">
        <is>
          <t>PLANILLA</t>
        </is>
      </c>
    </row>
    <row r="175">
      <c r="A175" s="2" t="inlineStr">
        <is>
          <t>EPIC-05</t>
        </is>
      </c>
      <c r="B175" s="2" t="inlineStr">
        <is>
          <t>TC-CEPA-051-001</t>
        </is>
      </c>
      <c r="C175" s="2" t="inlineStr">
        <is>
          <t>Functional</t>
        </is>
      </c>
      <c r="D175" s="2" t="inlineStr">
        <is>
          <t>Filtros combinados</t>
        </is>
      </c>
      <c r="E175" s="2" t="inlineStr">
        <is>
          <t>Generador de reportes de auditoría</t>
        </is>
      </c>
      <c r="F175" s="2" t="inlineStr">
        <is>
          <t>Verificar que al seleccionar período, diagnóstico, profesional y estado del caso y ejecutar, el reporte devuelve únicamente los casos que cumplen todos los filtros (AND), con sus hitos consolidados.</t>
        </is>
      </c>
      <c r="G175" s="2" t="inlineStr">
        <is>
          <t>Web</t>
        </is>
      </c>
      <c r="H175" s="2" t="inlineStr">
        <is>
          <t>Usuario con perfil Auditor autenticado; base con casos cargados en varios estados, diagnósticos y profesionales, incluyendo al menos 3 casos que cumplen simultáneamente: período mayo 2026, diagnóstico 'Trastorno adaptativo', médico tratante 'Dr. Pérez', estado 'Activo'.</t>
        </is>
      </c>
      <c r="I175" s="2" t="inlineStr">
        <is>
          <t>1. Iniciar sesión como Auditor. 2. Abrir el generador de reportes de auditoría. 3. Seleccionar período 01-05-2026 a 31-05-2026. 4. Seleccionar diagnóstico 'Trastorno adaptativo'. 5. Seleccionar profesional 'Dr. Pérez'. 6. Seleccionar estado del caso 'Activo'. 7. Ejecutar el reporte.</t>
        </is>
      </c>
      <c r="J175" s="2" t="inlineStr">
        <is>
          <t>El reporte devuelve únicamente los casos que cumplen simultáneamente los cuatro filtros (combinación AND), mostrando por cada caso sus hitos consolidados (folio, nº siniestro, evaluaciones, sesiones, reintegros, altas). Ningún caso fuera del período, diagnóstico, profesional o estado seleccionados aparece en el resultado.</t>
        </is>
      </c>
      <c r="K175" s="2" t="inlineStr"/>
      <c r="L175" s="2" t="inlineStr"/>
      <c r="M175" s="2" t="inlineStr">
        <is>
          <t>P0</t>
        </is>
      </c>
      <c r="N175" s="3" t="inlineStr">
        <is>
          <t>Critical</t>
        </is>
      </c>
      <c r="O175" s="2" t="inlineStr"/>
      <c r="P175" s="2" t="inlineStr"/>
      <c r="Q175" s="2" t="inlineStr">
        <is>
          <t>S1</t>
        </is>
      </c>
    </row>
    <row r="176">
      <c r="A176" s="2" t="inlineStr">
        <is>
          <t>EPIC-05</t>
        </is>
      </c>
      <c r="B176" s="2" t="inlineStr">
        <is>
          <t>TC-CEPA-051-002</t>
        </is>
      </c>
      <c r="C176" s="2" t="inlineStr">
        <is>
          <t>Functional</t>
        </is>
      </c>
      <c r="D176" s="2" t="inlineStr">
        <is>
          <t>Descarga con metadatos</t>
        </is>
      </c>
      <c r="E176" s="2" t="inlineStr">
        <is>
          <t>Exportador de reportes de auditoría</t>
        </is>
      </c>
      <c r="F176" s="2" t="inlineStr">
        <is>
          <t>Verificar que un reporte generado con filtros aplicados se descarga en un formato estándar conservando los filtros aplicados como metadatos del reporte.</t>
        </is>
      </c>
      <c r="G176" s="2" t="inlineStr">
        <is>
          <t>Web</t>
        </is>
      </c>
      <c r="H176" s="2" t="inlineStr">
        <is>
          <t>Usuario con perfil Auditor autenticado; reporte generado con filtros: período mayo 2026, diagnóstico 'Trastorno adaptativo', profesional 'Dr. Pérez', estado 'Activo'.</t>
        </is>
      </c>
      <c r="I176" s="2" t="inlineStr">
        <is>
          <t>1. Con el reporte generado en pantalla, hacer clic en la opción de descarga. 2. Seleccionar el formato estándar disponible (ej. XLSX o CSV). 3. Confirmar la descarga. 4. Abrir el archivo descargado. 5. Revisar la sección/cabecera de metadatos del archivo.</t>
        </is>
      </c>
      <c r="J176" s="2" t="inlineStr">
        <is>
          <t>El sistema entrega un archivo descargable en formato estándar cuyo contenido coincide con el reporte en pantalla. El archivo incluye como metadatos los filtros aplicados (período 01-05-2026 a 31-05-2026, diagnóstico, profesional, estado) además de fecha de generación.</t>
        </is>
      </c>
      <c r="K176" s="2" t="inlineStr"/>
      <c r="L176" s="2" t="inlineStr"/>
      <c r="M176" s="2" t="inlineStr">
        <is>
          <t>P0</t>
        </is>
      </c>
      <c r="N176" s="3" t="inlineStr">
        <is>
          <t>Critical</t>
        </is>
      </c>
      <c r="O176" s="2" t="inlineStr"/>
      <c r="P176" s="2" t="inlineStr"/>
      <c r="Q176" s="2" t="inlineStr">
        <is>
          <t>S1</t>
        </is>
      </c>
    </row>
    <row r="177">
      <c r="A177" s="2" t="inlineStr">
        <is>
          <t>EPIC-05</t>
        </is>
      </c>
      <c r="B177" s="2" t="inlineStr">
        <is>
          <t>TC-CEPA-051-003</t>
        </is>
      </c>
      <c r="C177" s="2" t="inlineStr">
        <is>
          <t>Functional</t>
        </is>
      </c>
      <c r="D177" s="2" t="inlineStr">
        <is>
          <t>Trazabilidad de filas</t>
        </is>
      </c>
      <c r="E177" s="2" t="inlineStr">
        <is>
          <t>Trazabilidad de datos del reporte</t>
        </is>
      </c>
      <c r="F177" s="2" t="inlineStr">
        <is>
          <t>Verificar que cada fila de un reporte de auditoría descargado es trazable a su folio y número de siniestro de origen, permitiendo auditar el dato hasta su módulo fuente.</t>
        </is>
      </c>
      <c r="G177" s="2" t="inlineStr">
        <is>
          <t>Web</t>
        </is>
      </c>
      <c r="H177" s="2" t="inlineStr">
        <is>
          <t>Usuario con perfil Auditor autenticado; reporte de auditoría descargado que incluye el caso con folio 2026-0123 y nº de siniestro 4501234, con datos originados en los módulos Ingresos y Controles.</t>
        </is>
      </c>
      <c r="I177" s="2" t="inlineStr">
        <is>
          <t>1. Abrir el reporte descargado. 2. Seleccionar una fila (folio 2026-0123, siniestro 4501234). 3. Verificar que la fila incluye folio y número de siniestro. 4. En el sistema, buscar el folio 2026-0123 en el módulo de Auditoría y abrir la vista consolidada. 5. Contrastar los valores de la fila (fechas, diagnósticos, sesiones) contra los datos de los módulos fuente correspondientes.</t>
        </is>
      </c>
      <c r="J177" s="2" t="inlineStr">
        <is>
          <t>Cada fila del reporte contiene folio y número de siniestro; el dato verificado coincide exactamente con el registrado en el módulo fuente (fuente única de verdad), permitiendo a la institución contraparte auditar cualquier valor hasta su origen.</t>
        </is>
      </c>
      <c r="K177" s="2" t="inlineStr"/>
      <c r="L177" s="2" t="inlineStr"/>
      <c r="M177" s="2" t="inlineStr">
        <is>
          <t>P0</t>
        </is>
      </c>
      <c r="N177" s="4" t="inlineStr">
        <is>
          <t>Major</t>
        </is>
      </c>
      <c r="O177" s="2" t="inlineStr"/>
      <c r="P177" s="2" t="inlineStr"/>
      <c r="Q177" s="2" t="inlineStr">
        <is>
          <t>S1</t>
        </is>
      </c>
    </row>
    <row r="178">
      <c r="A178" s="2" t="inlineStr">
        <is>
          <t>EPIC-05</t>
        </is>
      </c>
      <c r="B178" s="2" t="inlineStr">
        <is>
          <t>TC-CEPA-051-004</t>
        </is>
      </c>
      <c r="C178" s="2" t="inlineStr">
        <is>
          <t>Functional</t>
        </is>
      </c>
      <c r="D178" s="2" t="inlineStr">
        <is>
          <t>Resultado vacío</t>
        </is>
      </c>
      <c r="E178" s="2" t="inlineStr">
        <is>
          <t>Generador de reportes de auditoría</t>
        </is>
      </c>
      <c r="F178" s="2" t="inlineStr">
        <is>
          <t>Verificar que una combinación de filtros sin casos coincidentes produce un resultado vacío con mensaje claro, sin error y sin filas espurias.</t>
        </is>
      </c>
      <c r="G178" s="2" t="inlineStr">
        <is>
          <t>Web</t>
        </is>
      </c>
      <c r="H178" s="2" t="inlineStr">
        <is>
          <t>Usuario con perfil Auditor autenticado; base de datos sin casos que cumplan la combinación: período 01-01-2019 a 31-01-2019, diagnóstico 'Episodio depresivo moderado', estado 'Cerrado'.</t>
        </is>
      </c>
      <c r="I178" s="2" t="inlineStr">
        <is>
          <t>1. Abrir el generador de reportes de auditoría. 2. Seleccionar período 01-01-2019 a 31-01-2019. 3. Seleccionar diagnóstico 'Episodio depresivo moderado' y estado 'Cerrado'. 4. Ejecutar el reporte.</t>
        </is>
      </c>
      <c r="J178" s="2" t="inlineStr">
        <is>
          <t>El sistema muestra un resultado vacío acompañado de un mensaje claro (ej. 'No se encontraron casos para los filtros seleccionados'), sin errores técnicos, sin filas espurias y manteniendo disponibles los filtros para una nueva consulta.</t>
        </is>
      </c>
      <c r="K178" s="2" t="inlineStr"/>
      <c r="L178" s="2" t="inlineStr"/>
      <c r="M178" s="2" t="inlineStr">
        <is>
          <t>P0</t>
        </is>
      </c>
      <c r="N178" s="5" t="inlineStr">
        <is>
          <t>Medium</t>
        </is>
      </c>
      <c r="O178" s="2" t="inlineStr"/>
      <c r="P178" s="2" t="inlineStr"/>
      <c r="Q178" s="2" t="inlineStr">
        <is>
          <t>S2</t>
        </is>
      </c>
    </row>
    <row r="179">
      <c r="A179" s="2" t="inlineStr">
        <is>
          <t>EPIC-05</t>
        </is>
      </c>
      <c r="B179" s="2" t="inlineStr">
        <is>
          <t>TC-CEPA-051-005</t>
        </is>
      </c>
      <c r="C179" s="2" t="inlineStr">
        <is>
          <t>Security</t>
        </is>
      </c>
      <c r="D179" s="2" t="inlineStr">
        <is>
          <t>RBAC</t>
        </is>
      </c>
      <c r="E179" s="2" t="inlineStr">
        <is>
          <t>Motor RBAC de reportes de auditoría</t>
        </is>
      </c>
      <c r="F179" s="2" t="inlineStr">
        <is>
          <t>Verificar que un perfil sin permiso de auditoría no puede generar ni descargar reportes de auditoría (denegación por RBAC).</t>
        </is>
      </c>
      <c r="G179" s="2" t="inlineStr">
        <is>
          <t>Web/API</t>
        </is>
      </c>
      <c r="H179" s="2" t="inlineStr">
        <is>
          <t>Usuario con perfil Administrativo (sin permiso al módulo de auditoría) autenticado; reportes de auditoría existentes generados por un Auditor.</t>
        </is>
      </c>
      <c r="I179" s="2" t="inlineStr">
        <is>
          <t>1. Iniciar sesión como Administrativo. 2. Verificar la visibilidad de la opción de reportes de auditoría en el menú. 3. Intentar acceder directamente a la URL del generador de reportes de auditoría. 4. Invocar por API el endpoint de generación de reporte de auditoría (POST /api/v1) con el token del Administrativo. 5. Invocar por API el endpoint de descarga de un reporte existente con el mismo token.</t>
        </is>
      </c>
      <c r="J179" s="2" t="inlineStr">
        <is>
          <t>La opción de reportes de auditoría no está disponible en el menú del Administrativo; el acceso directo por URL es denegado y las llamadas API de generación y descarga responden 403 por RBAC, sin exponer datos del reporte.</t>
        </is>
      </c>
      <c r="K179" s="2" t="inlineStr"/>
      <c r="L179" s="2" t="inlineStr"/>
      <c r="M179" s="2" t="inlineStr">
        <is>
          <t>P0</t>
        </is>
      </c>
      <c r="N179" s="3" t="inlineStr">
        <is>
          <t>Critical</t>
        </is>
      </c>
      <c r="O179" s="2" t="inlineStr"/>
      <c r="P179" s="2" t="inlineStr"/>
      <c r="Q179" s="2" t="inlineStr">
        <is>
          <t>S3</t>
        </is>
      </c>
    </row>
    <row r="180">
      <c r="A180" s="2" t="inlineStr">
        <is>
          <t>EPIC-05</t>
        </is>
      </c>
      <c r="B180" s="2" t="inlineStr">
        <is>
          <t>TC-CEPA-051-006</t>
        </is>
      </c>
      <c r="C180" s="2" t="inlineStr">
        <is>
          <t>Business Rules</t>
        </is>
      </c>
      <c r="D180" s="2" t="inlineStr">
        <is>
          <t>Reportes solo lectura</t>
        </is>
      </c>
      <c r="E180" s="2" t="inlineStr">
        <is>
          <t>Generador de reportes de auditoría</t>
        </is>
      </c>
      <c r="F180" s="2" t="inlineStr">
        <is>
          <t>Verificar que la generación y descarga de reportes es una operación de solo lectura: el Auditor no dispone de ninguna vía para editar datos clínicos desde el módulo de reportes y los datos fuente permanecen intactos tras generar reportes.</t>
        </is>
      </c>
      <c r="G180" s="2" t="inlineStr">
        <is>
          <t>Web/API</t>
        </is>
      </c>
      <c r="H180" s="2" t="inlineStr">
        <is>
          <t>Usuario con perfil Auditor autenticado; snapshot de los datos de los casos del período mayo 2026 tomado antes de la prueba.</t>
        </is>
      </c>
      <c r="I180" s="2" t="inlineStr">
        <is>
          <t>1. Iniciar sesión como Auditor y generar un reporte de auditoría del período mayo 2026. 2. Inspeccionar la pantalla de resultados buscando controles de edición sobre los datos listados. 3. Descargar el reporte. 4. Intentar por API una operación de escritura (PUT/PATCH/DELETE) sobre un caso incluido en el reporte usando el token del Auditor. 5. Comparar los datos de los casos contra el snapshot previo.</t>
        </is>
      </c>
      <c r="J180" s="2" t="inlineStr">
        <is>
          <t>Ni la pantalla de resultados ni el flujo de descarga ofrecen controles de edición; las operaciones de escritura por API con perfil Auditor son rechazadas (403); los datos clínicos de los módulos fuente permanecen idénticos al snapshot previo a la generación del reporte.</t>
        </is>
      </c>
      <c r="K180" s="2" t="inlineStr"/>
      <c r="L180" s="2" t="inlineStr"/>
      <c r="M180" s="2" t="inlineStr">
        <is>
          <t>P0</t>
        </is>
      </c>
      <c r="N180" s="3" t="inlineStr">
        <is>
          <t>Critical</t>
        </is>
      </c>
      <c r="O180" s="2" t="inlineStr"/>
      <c r="P180" s="2" t="inlineStr"/>
      <c r="Q180" s="2" t="inlineStr">
        <is>
          <t>BR-1</t>
        </is>
      </c>
    </row>
    <row r="181">
      <c r="A181" s="2" t="inlineStr">
        <is>
          <t>EPIC-05</t>
        </is>
      </c>
      <c r="B181" s="2" t="inlineStr">
        <is>
          <t>TC-CEPA-051-007</t>
        </is>
      </c>
      <c r="C181" s="2" t="inlineStr">
        <is>
          <t>Business Rules</t>
        </is>
      </c>
      <c r="D181" s="2" t="inlineStr">
        <is>
          <t>Período obligatorio</t>
        </is>
      </c>
      <c r="E181" s="2" t="inlineStr">
        <is>
          <t>Validador de filtros del reporte</t>
        </is>
      </c>
      <c r="F181" s="2" t="inlineStr">
        <is>
          <t>Verificar que el período es un filtro obligatorio para generar un reporte de auditoría: sin período seleccionado el sistema impide la ejecución con una validación clara.</t>
        </is>
      </c>
      <c r="G181" s="2" t="inlineStr">
        <is>
          <t>Web/API</t>
        </is>
      </c>
      <c r="H181" s="2" t="inlineStr">
        <is>
          <t>Usuario con perfil Auditor autenticado; generador de reportes de auditoría abierto.</t>
        </is>
      </c>
      <c r="I181" s="2" t="inlineStr">
        <is>
          <t>1. Abrir el generador de reportes de auditoría. 2. Dejar el campo período vacío. 3. Seleccionar únicamente diagnóstico 'Trastorno adaptativo'. 4. Intentar ejecutar el reporte. 5. Invocar por API el endpoint de generación de reporte omitiendo el parámetro de período.</t>
        </is>
      </c>
      <c r="J181" s="2" t="inlineStr">
        <is>
          <t>El sistema no ejecuta el reporte sin período: la UI muestra una validación indicando que el período es obligatorio, y la llamada API sin período responde con error de validación (422/400), acotando siempre el universo del reporte a un rango de fechas.</t>
        </is>
      </c>
      <c r="K181" s="2" t="inlineStr"/>
      <c r="L181" s="2" t="inlineStr"/>
      <c r="M181" s="2" t="inlineStr">
        <is>
          <t>P0</t>
        </is>
      </c>
      <c r="N181" s="5" t="inlineStr">
        <is>
          <t>Medium</t>
        </is>
      </c>
      <c r="O181" s="2" t="inlineStr"/>
      <c r="P181" s="2" t="inlineStr"/>
      <c r="Q181" s="2" t="inlineStr">
        <is>
          <t>BR-2</t>
        </is>
      </c>
    </row>
    <row r="182">
      <c r="A182" s="2" t="inlineStr">
        <is>
          <t>EPIC-05</t>
        </is>
      </c>
      <c r="B182" s="2" t="inlineStr">
        <is>
          <t>TC-CEPA-051-008</t>
        </is>
      </c>
      <c r="C182" s="2" t="inlineStr">
        <is>
          <t>Business Rules</t>
        </is>
      </c>
      <c r="D182" s="2" t="inlineStr">
        <is>
          <t>Log de auditoría</t>
        </is>
      </c>
      <c r="E182" s="2" t="inlineStr">
        <is>
          <t>Log de auditoría de generación de reportes</t>
        </is>
      </c>
      <c r="F182" s="2" t="inlineStr">
        <is>
          <t>Verificar que cada generación de reporte de auditoría queda registrada en el log de auditoría (EPIC-00) con quién lo generó, con qué filtros y cuándo.</t>
        </is>
      </c>
      <c r="G182" s="2" t="inlineStr">
        <is>
          <t>Web/API</t>
        </is>
      </c>
      <c r="H182" s="2" t="inlineStr">
        <is>
          <t>Usuario con perfil Auditor autenticado; acceso de verificación al log de auditoría (EPIC-00).</t>
        </is>
      </c>
      <c r="I182" s="2" t="inlineStr">
        <is>
          <t>1. Iniciar sesión como Auditor. 2. Generar un reporte con filtros: período 01-05-2026 a 31-05-2026, estado 'Activo'. 3. Descargar el reporte. 4. Generar un segundo reporte con filtros distintos (período anual 2026, diagnóstico 'Episodio depresivo moderado'). 5. Consultar el log de auditoría (EPIC-00) y revisar los registros de generación de reportes.</t>
        </is>
      </c>
      <c r="J182" s="2" t="inlineStr">
        <is>
          <t>El log de auditoría contiene un registro por cada reporte generado, incluyendo el usuario Auditor, la fecha/hora de generación y los filtros aplicados en cada caso; los registros son inmutables y consultables.</t>
        </is>
      </c>
      <c r="K182" s="2" t="inlineStr"/>
      <c r="L182" s="2" t="inlineStr"/>
      <c r="M182" s="2" t="inlineStr">
        <is>
          <t>P0</t>
        </is>
      </c>
      <c r="N182" s="4" t="inlineStr">
        <is>
          <t>Major</t>
        </is>
      </c>
      <c r="O182" s="2" t="inlineStr"/>
      <c r="P182" s="2" t="inlineStr"/>
      <c r="Q182" s="2" t="inlineStr">
        <is>
          <t>BR-5</t>
        </is>
      </c>
    </row>
    <row r="183">
      <c r="A183" s="2" t="inlineStr">
        <is>
          <t>EPIC-05</t>
        </is>
      </c>
      <c r="B183" s="2" t="inlineStr">
        <is>
          <t>TC-CEPA-051-009</t>
        </is>
      </c>
      <c r="C183" s="2" t="inlineStr">
        <is>
          <t>Business Rules</t>
        </is>
      </c>
      <c r="D183" s="2" t="inlineStr">
        <is>
          <t>Dimensiones D5</t>
        </is>
      </c>
      <c r="E183" s="2" t="inlineStr">
        <is>
          <t>Catálogo de filtros del reporte</t>
        </is>
      </c>
      <c r="F183" s="2" t="inlineStr">
        <is>
          <t>Verificar que los filtros complementarios alineados a D5/§7.9 (programa, tipo de alta, región/comuna, tipo de ingreso) están disponibles y filtran correctamente el reporte de auditoría.</t>
        </is>
      </c>
      <c r="G183" s="2" t="inlineStr">
        <is>
          <t>Web</t>
        </is>
      </c>
      <c r="H183" s="2" t="inlineStr">
        <is>
          <t>Usuario con perfil Auditor autenticado; casos cargados con distintas regiones (Maule, Metropolitana), tipos de alta (médica, psicológica, terapéutica) y programas/tipos de ingreso.</t>
        </is>
      </c>
      <c r="I183" s="2" t="inlineStr">
        <is>
          <t>1. Abrir el generador de reportes de auditoría. 2. Verificar la disponibilidad de los filtros complementarios: programa, tipo de alta, región/comuna y tipo de ingreso. 3. Seleccionar período 01-01-2026 a 30-06-2026 y región 'Maule'; ejecutar. 4. Ajustar el filtro a tipo de alta 'Alta médica'; ejecutar nuevamente. 5. Verificar que los valores de los filtros provienen de catálogos alineados con las definiciones de dashboard/reportería (D5).</t>
        </is>
      </c>
      <c r="J183" s="2" t="inlineStr">
        <is>
          <t>Los filtros complementarios (programa, tipo de alta, región/comuna, tipo de ingreso) están disponibles y sus valores provienen de catálogos alineados con D5; cada ejecución devuelve solo los casos que cumplen la combinación de período más el filtro complementario aplicado.</t>
        </is>
      </c>
      <c r="K183" s="2" t="inlineStr"/>
      <c r="L183" s="2" t="inlineStr"/>
      <c r="M183" s="2" t="inlineStr">
        <is>
          <t>P0</t>
        </is>
      </c>
      <c r="N183" s="5" t="inlineStr">
        <is>
          <t>Medium</t>
        </is>
      </c>
      <c r="O183" s="2" t="inlineStr"/>
      <c r="P183" s="2" t="inlineStr"/>
      <c r="Q183" s="2" t="inlineStr">
        <is>
          <t>BR-6</t>
        </is>
      </c>
    </row>
    <row r="184">
      <c r="A184" s="2" t="inlineStr">
        <is>
          <t>EPIC-05</t>
        </is>
      </c>
      <c r="B184" s="2" t="inlineStr">
        <is>
          <t>TC-CEPA-051-010</t>
        </is>
      </c>
      <c r="C184" s="2" t="inlineStr">
        <is>
          <t>Performance</t>
        </is>
      </c>
      <c r="D184" s="2" t="inlineStr">
        <is>
          <t>Volumen anual</t>
        </is>
      </c>
      <c r="E184" s="2" t="inlineStr">
        <is>
          <t>Generador de reportes de auditoría</t>
        </is>
      </c>
      <c r="F184" s="2" t="inlineStr">
        <is>
          <t>Verificar que un reporte anual de alto volumen (~800 casos) responde en menos de 2 segundos, se pagina o entrega completo, y su descarga es íntegra.</t>
        </is>
      </c>
      <c r="G184" s="2" t="inlineStr">
        <is>
          <t>Web/API</t>
        </is>
      </c>
      <c r="H184" s="2" t="inlineStr">
        <is>
          <t>Usuario con perfil Auditor autenticado; base de datos con ~800 casos distribuidos en el año 2026.</t>
        </is>
      </c>
      <c r="I184" s="2" t="inlineStr">
        <is>
          <t>1. Abrir el generador de reportes de auditoría. 2. Seleccionar período anual 01-01-2026 a 31-12-2026 sin filtros adicionales restrictivos. 3. Ejecutar el reporte midiendo el tiempo de respuesta. 4. Recorrer la paginación (si aplica) hasta el final del listado. 5. Descargar el reporte completo y verificar el número de filas del archivo contra el total de casos esperado.</t>
        </is>
      </c>
      <c r="J184" s="2" t="inlineStr">
        <is>
          <t>El reporte responde en menos de 2 segundos; el listado se presenta paginado o completo sin degradación de la interfaz; el archivo descargado contiene íntegramente los ~800 casos sin filas truncadas ni faltantes.</t>
        </is>
      </c>
      <c r="K184" s="2" t="inlineStr"/>
      <c r="L184" s="2" t="inlineStr"/>
      <c r="M184" s="2" t="inlineStr">
        <is>
          <t>P0</t>
        </is>
      </c>
      <c r="N184" s="5" t="inlineStr">
        <is>
          <t>Medium</t>
        </is>
      </c>
      <c r="O184" s="2" t="inlineStr"/>
      <c r="P184" s="2" t="inlineStr"/>
      <c r="Q184" s="2" t="inlineStr">
        <is>
          <t>TC-legacy</t>
        </is>
      </c>
    </row>
    <row r="185">
      <c r="A185" s="2" t="inlineStr">
        <is>
          <t>EPIC-06</t>
        </is>
      </c>
      <c r="B185" s="2" t="inlineStr">
        <is>
          <t>TC-CEPA-060-001</t>
        </is>
      </c>
      <c r="C185" s="2" t="inlineStr">
        <is>
          <t>Functional</t>
        </is>
      </c>
      <c r="D185" s="2" t="inlineStr">
        <is>
          <t>Registro de control</t>
        </is>
      </c>
      <c r="E185" s="2" t="inlineStr">
        <is>
          <t>Formulario de registro de control médico</t>
        </is>
      </c>
      <c r="F185" s="2" t="inlineStr">
        <is>
          <t>Verificar que el sistema persiste un nuevo control médico con los datos del control y del paciente, vinculado al folio existente, y lo muestra en la vista de gestión de controles médicos.</t>
        </is>
      </c>
      <c r="G185" s="2" t="inlineStr">
        <is>
          <t>Web</t>
        </is>
      </c>
      <c r="H185" s="2" t="inlineStr">
        <is>
          <t>Usuario Administrativo autenticado; folio 1024 existe en el módulo de Ingresos con fecha de ingreso registrada.</t>
        </is>
      </c>
      <c r="I185" s="2" t="inlineStr">
        <is>
          <t>1. Navegar a Controles Médicos &gt; Nuevo control. 2. Ingresar folio=1024, región de derivación='Maule', fecha de ingreso=2026-01-05, paciente='María Pérez Soto', RUT=12.345.678-5, médico tratante='Dr. Juan Rojas'. 3. Ingresar fecha del control=2026-02-02. 4. Hacer clic en 'Guardar'. 5. Navegar a la vista de gestión de controles médicos.</t>
        </is>
      </c>
      <c r="J185" s="2" t="inlineStr">
        <is>
          <t>El sistema persiste el control vinculado al folio 1024 y el registro aparece en la vista de gestión de controles médicos con los datos ingresados.</t>
        </is>
      </c>
      <c r="K185" s="2" t="inlineStr"/>
      <c r="L185" s="2" t="inlineStr"/>
      <c r="M185" s="2" t="inlineStr">
        <is>
          <t>P0</t>
        </is>
      </c>
      <c r="N185" s="3" t="inlineStr">
        <is>
          <t>Critical</t>
        </is>
      </c>
      <c r="O185" s="2" t="inlineStr"/>
      <c r="P185" s="2" t="inlineStr"/>
      <c r="Q185" s="2" t="inlineStr">
        <is>
          <t>S1</t>
        </is>
      </c>
    </row>
    <row r="186">
      <c r="A186" s="2" t="inlineStr">
        <is>
          <t>EPIC-06</t>
        </is>
      </c>
      <c r="B186" s="2" t="inlineStr">
        <is>
          <t>TC-CEPA-060-002</t>
        </is>
      </c>
      <c r="C186" s="2" t="inlineStr">
        <is>
          <t>Functional</t>
        </is>
      </c>
      <c r="D186" s="2" t="inlineStr">
        <is>
          <t>Cálculo automático</t>
        </is>
      </c>
      <c r="E186" s="2" t="inlineStr">
        <is>
          <t>Calculador de semana de control</t>
        </is>
      </c>
      <c r="F186" s="2" t="inlineStr">
        <is>
          <t>Verificar que al guardar un control el sistema calcula automáticamente la semana del control desde la fecha de ingreso (floor((fecha_control − fecha_ingreso)/7) + 1) y la muestra en modo solo lectura.</t>
        </is>
      </c>
      <c r="G186" s="2" t="inlineStr">
        <is>
          <t>Web</t>
        </is>
      </c>
      <c r="H186" s="2" t="inlineStr">
        <is>
          <t>Usuario Administrativo autenticado; folio 1024 existe con fecha de ingreso=2026-01-05.</t>
        </is>
      </c>
      <c r="I186" s="2" t="inlineStr">
        <is>
          <t>1. Navegar a Controles Médicos &gt; Nuevo control. 2. Ingresar folio=1024 y datos obligatorios del paciente (RUT=12.345.678-5). 3. Ingresar fecha de ingreso=2026-01-05 y fecha del control=2026-02-02. 4. Hacer clic en 'Guardar'. 5. Abrir el registro guardado. 6. Repetir con un segundo control: fecha de ingreso=2026-03-02, fecha del control=2026-03-10. 7. Intentar hacer clic/editar el campo 'Semana Control' en ambos registros.</t>
        </is>
      </c>
      <c r="J186" s="2" t="inlineStr">
        <is>
          <t>El sistema calcula semana_control=5 para el primer caso (28 días transcurridos) y semana_control=2 para el segundo (8 días, día intermedio de la semana 2). El campo 'Semana Control' se muestra en modo solo lectura y no acepta edición manual.</t>
        </is>
      </c>
      <c r="K186" s="2" t="inlineStr"/>
      <c r="L186" s="2" t="inlineStr"/>
      <c r="M186" s="2" t="inlineStr">
        <is>
          <t>P0</t>
        </is>
      </c>
      <c r="N186" s="3" t="inlineStr">
        <is>
          <t>Critical</t>
        </is>
      </c>
      <c r="O186" s="2" t="inlineStr"/>
      <c r="P186" s="2" t="inlineStr"/>
      <c r="Q186" s="2" t="inlineStr">
        <is>
          <t>S1</t>
        </is>
      </c>
    </row>
    <row r="187">
      <c r="A187" s="2" t="inlineStr">
        <is>
          <t>EPIC-06</t>
        </is>
      </c>
      <c r="B187" s="2" t="inlineStr">
        <is>
          <t>TC-CEPA-060-003</t>
        </is>
      </c>
      <c r="C187" s="2" t="inlineStr">
        <is>
          <t>Functional</t>
        </is>
      </c>
      <c r="D187" s="2" t="inlineStr">
        <is>
          <t>Validación RUT</t>
        </is>
      </c>
      <c r="E187" s="2" t="inlineStr">
        <is>
          <t>Validador de RUT</t>
        </is>
      </c>
      <c r="F187" s="2" t="inlineStr">
        <is>
          <t>Verificar que el sistema rechaza un RUT con dígito verificador inválido mostrando un mensaje de error específico sin perder los datos ya ingresados en el formulario.</t>
        </is>
      </c>
      <c r="G187" s="2" t="inlineStr">
        <is>
          <t>Web</t>
        </is>
      </c>
      <c r="H187" s="2" t="inlineStr">
        <is>
          <t>Usuario Administrativo autenticado; formulario de nuevo control médico abierto.</t>
        </is>
      </c>
      <c r="I187" s="2" t="inlineStr">
        <is>
          <t>1. Completar folio=1024, región de derivación='Maule', fecha de ingreso=2026-01-05, paciente='María Pérez Soto', médico tratante='Dr. Juan Rojas'. 2. Ingresar RUT=12.345.678-0 (dígito verificador erróneo; el correcto es 5). 3. Hacer clic en 'Guardar'.</t>
        </is>
      </c>
      <c r="J187" s="2" t="inlineStr">
        <is>
          <t>El sistema muestra un mensaje de error específico indicando que el dígito verificador del RUT es inválido; el control no se persiste y los demás datos ingresados se conservan en el formulario.</t>
        </is>
      </c>
      <c r="K187" s="2" t="inlineStr"/>
      <c r="L187" s="2" t="inlineStr"/>
      <c r="M187" s="2" t="inlineStr">
        <is>
          <t>P0</t>
        </is>
      </c>
      <c r="N187" s="4" t="inlineStr">
        <is>
          <t>Major</t>
        </is>
      </c>
      <c r="O187" s="2" t="inlineStr"/>
      <c r="P187" s="2" t="inlineStr"/>
      <c r="Q187" s="2" t="inlineStr">
        <is>
          <t>S4</t>
        </is>
      </c>
    </row>
    <row r="188">
      <c r="A188" s="2" t="inlineStr">
        <is>
          <t>EPIC-06</t>
        </is>
      </c>
      <c r="B188" s="2" t="inlineStr">
        <is>
          <t>TC-CEPA-060-004</t>
        </is>
      </c>
      <c r="C188" s="2" t="inlineStr">
        <is>
          <t>Functional</t>
        </is>
      </c>
      <c r="D188" s="2" t="inlineStr">
        <is>
          <t>Asociación a folio</t>
        </is>
      </c>
      <c r="E188" s="2" t="inlineStr">
        <is>
          <t>Validador de folio de paciente</t>
        </is>
      </c>
      <c r="F188" s="2" t="inlineStr">
        <is>
          <t>Verificar que el sistema bloquea el guardado de un control médico cuyo folio no corresponde a ningún paciente con ingreso registrado.</t>
        </is>
      </c>
      <c r="G188" s="2" t="inlineStr">
        <is>
          <t>Web</t>
        </is>
      </c>
      <c r="H188" s="2" t="inlineStr">
        <is>
          <t>Usuario Administrativo autenticado; el folio 99999 no existe en el módulo de Ingresos.</t>
        </is>
      </c>
      <c r="I188" s="2" t="inlineStr">
        <is>
          <t>1. Navegar a Controles Médicos &gt; Nuevo control. 2. Ingresar folio=99999 y completar los demás campos obligatorios (RUT=12.345.678-5, fecha de ingreso=2026-01-05, fecha del control=2026-02-02). 3. Hacer clic en 'Guardar'.</t>
        </is>
      </c>
      <c r="J188" s="2" t="inlineStr">
        <is>
          <t>El sistema bloquea el guardado e informa que el control debe asociarse a un folio existente en el módulo de Ingresos; el registro no se persiste.</t>
        </is>
      </c>
      <c r="K188" s="2" t="inlineStr"/>
      <c r="L188" s="2" t="inlineStr"/>
      <c r="M188" s="2" t="inlineStr">
        <is>
          <t>P0</t>
        </is>
      </c>
      <c r="N188" s="3" t="inlineStr">
        <is>
          <t>Critical</t>
        </is>
      </c>
      <c r="O188" s="2" t="inlineStr"/>
      <c r="P188" s="2" t="inlineStr"/>
      <c r="Q188" s="2" t="inlineStr">
        <is>
          <t>S3</t>
        </is>
      </c>
    </row>
    <row r="189">
      <c r="A189" s="2" t="inlineStr">
        <is>
          <t>EPIC-06</t>
        </is>
      </c>
      <c r="B189" s="2" t="inlineStr">
        <is>
          <t>TC-CEPA-060-005</t>
        </is>
      </c>
      <c r="C189" s="2" t="inlineStr">
        <is>
          <t>Business Rules</t>
        </is>
      </c>
      <c r="D189" s="2" t="inlineStr">
        <is>
          <t>Cálculo automático - borde</t>
        </is>
      </c>
      <c r="E189" s="2" t="inlineStr">
        <is>
          <t>Calculador de semana de control</t>
        </is>
      </c>
      <c r="F189" s="2" t="inlineStr">
        <is>
          <t>Verificar que cuando la fecha del control es igual a la fecha de ingreso, la semana del control calculada es 1 (la semana 1 cubre los días 0–6 desde el ingreso).</t>
        </is>
      </c>
      <c r="G189" s="2" t="inlineStr">
        <is>
          <t>Web</t>
        </is>
      </c>
      <c r="H189" s="2" t="inlineStr">
        <is>
          <t>Usuario Administrativo autenticado; folio existente con fecha de ingreso=2026-04-01.</t>
        </is>
      </c>
      <c r="I189" s="2" t="inlineStr">
        <is>
          <t>1. Navegar a Controles Médicos &gt; Nuevo control. 2. Ingresar folio existente y datos obligatorios (RUT=12.345.678-5). 3. Ingresar fecha de ingreso=2026-04-01 y fecha del control=2026-04-01 (mismo día). 4. Hacer clic en 'Guardar'. 5. Abrir el registro guardado y revisar el campo 'Semana Control'.</t>
        </is>
      </c>
      <c r="J189" s="2" t="inlineStr">
        <is>
          <t>El control se guarda correctamente y el sistema calcula semana_control=1.</t>
        </is>
      </c>
      <c r="K189" s="2" t="inlineStr"/>
      <c r="L189" s="2" t="inlineStr"/>
      <c r="M189" s="2" t="inlineStr">
        <is>
          <t>P0</t>
        </is>
      </c>
      <c r="N189" s="4" t="inlineStr">
        <is>
          <t>Major</t>
        </is>
      </c>
      <c r="O189" s="2" t="inlineStr"/>
      <c r="P189" s="2" t="inlineStr"/>
      <c r="Q189" s="2" t="inlineStr">
        <is>
          <t>BR-4</t>
        </is>
      </c>
    </row>
    <row r="190">
      <c r="A190" s="2" t="inlineStr">
        <is>
          <t>EPIC-06</t>
        </is>
      </c>
      <c r="B190" s="2" t="inlineStr">
        <is>
          <t>TC-CEPA-060-006</t>
        </is>
      </c>
      <c r="C190" s="2" t="inlineStr">
        <is>
          <t>Business Rules</t>
        </is>
      </c>
      <c r="D190" s="2" t="inlineStr">
        <is>
          <t>Validación de fechas</t>
        </is>
      </c>
      <c r="E190" s="2" t="inlineStr">
        <is>
          <t>Calculador de semana de control</t>
        </is>
      </c>
      <c r="F190" s="2" t="inlineStr">
        <is>
          <t>Verificar que el sistema rechaza el registro de un control médico cuya fecha de control es anterior a la fecha de ingreso del paciente.</t>
        </is>
      </c>
      <c r="G190" s="2" t="inlineStr">
        <is>
          <t>Web</t>
        </is>
      </c>
      <c r="H190" s="2" t="inlineStr">
        <is>
          <t>Usuario Administrativo autenticado; folio existente con fecha de ingreso=2026-04-01.</t>
        </is>
      </c>
      <c r="I190" s="2" t="inlineStr">
        <is>
          <t>1. Navegar a Controles Médicos &gt; Nuevo control. 2. Ingresar folio existente y datos obligatorios (RUT=12.345.678-5). 3. Ingresar fecha de ingreso=2026-04-01 y fecha del control=2026-03-25 (anterior al ingreso). 4. Hacer clic en 'Guardar'.</t>
        </is>
      </c>
      <c r="J190" s="2" t="inlineStr">
        <is>
          <t>El sistema rechaza el registro e informa que la fecha del control no puede ser anterior a la fecha de ingreso; el control no se persiste.</t>
        </is>
      </c>
      <c r="K190" s="2" t="inlineStr"/>
      <c r="L190" s="2" t="inlineStr"/>
      <c r="M190" s="2" t="inlineStr">
        <is>
          <t>P0</t>
        </is>
      </c>
      <c r="N190" s="4" t="inlineStr">
        <is>
          <t>Major</t>
        </is>
      </c>
      <c r="O190" s="2" t="inlineStr"/>
      <c r="P190" s="2" t="inlineStr"/>
      <c r="Q190" s="2" t="inlineStr">
        <is>
          <t>BR-4</t>
        </is>
      </c>
    </row>
    <row r="191">
      <c r="A191" s="2" t="inlineStr">
        <is>
          <t>EPIC-06</t>
        </is>
      </c>
      <c r="B191" s="2" t="inlineStr">
        <is>
          <t>TC-CEPA-060-007</t>
        </is>
      </c>
      <c r="C191" s="2" t="inlineStr">
        <is>
          <t>Business Rules</t>
        </is>
      </c>
      <c r="D191" s="2" t="inlineStr">
        <is>
          <t>Campos obligatorios</t>
        </is>
      </c>
      <c r="E191" s="2" t="inlineStr">
        <is>
          <t>Formulario de registro de control médico</t>
        </is>
      </c>
      <c r="F191" s="2" t="inlineStr">
        <is>
          <t>Verificar que el sistema exige los campos obligatorios (folio, región de derivación, fecha de ingreso, nombre, RUT, médico tratante) antes de guardar un control médico.</t>
        </is>
      </c>
      <c r="G191" s="2" t="inlineStr">
        <is>
          <t>Web</t>
        </is>
      </c>
      <c r="H191" s="2" t="inlineStr">
        <is>
          <t>Usuario Administrativo autenticado; formulario de nuevo control médico abierto.</t>
        </is>
      </c>
      <c r="I191" s="2" t="inlineStr">
        <is>
          <t>1. Ingresar solo folio=1024 dejando vacíos región de derivación, fecha de ingreso, nombre, RUT y médico tratante. 2. Hacer clic en 'Guardar'. 3. Completar uno a uno cada campo faltante repitiendo el intento de guardado tras cada uno hasta dejar solo 'médico tratante' vacío. 4. Hacer clic en 'Guardar'.</t>
        </is>
      </c>
      <c r="J191" s="2" t="inlineStr">
        <is>
          <t>En cada intento con campos obligatorios vacíos el sistema bloquea el guardado e indica específicamente los campos faltantes (folio, región de derivación, fecha de ingreso, nombre, RUT, médico tratante); el control no se persiste hasta completar todos.</t>
        </is>
      </c>
      <c r="K191" s="2" t="inlineStr"/>
      <c r="L191" s="2" t="inlineStr"/>
      <c r="M191" s="2" t="inlineStr">
        <is>
          <t>P0</t>
        </is>
      </c>
      <c r="N191" s="4" t="inlineStr">
        <is>
          <t>Major</t>
        </is>
      </c>
      <c r="O191" s="2" t="inlineStr"/>
      <c r="P191" s="2" t="inlineStr"/>
      <c r="Q191" s="2" t="inlineStr">
        <is>
          <t>BR-5</t>
        </is>
      </c>
    </row>
    <row r="192">
      <c r="A192" s="2" t="inlineStr">
        <is>
          <t>EPIC-06</t>
        </is>
      </c>
      <c r="B192" s="2" t="inlineStr">
        <is>
          <t>TC-CEPA-060-008</t>
        </is>
      </c>
      <c r="C192" s="2" t="inlineStr">
        <is>
          <t>Security</t>
        </is>
      </c>
      <c r="D192" s="2" t="inlineStr">
        <is>
          <t>RBAC</t>
        </is>
      </c>
      <c r="E192" s="2" t="inlineStr">
        <is>
          <t>Control de acceso por perfil (RBAC)</t>
        </is>
      </c>
      <c r="F192" s="2" t="inlineStr">
        <is>
          <t>Verificar que el perfil Auditor solo puede ver los controles médicos en modo lectura y que el sistema le deniega crear o editar controles, tanto en UI como vía API.</t>
        </is>
      </c>
      <c r="G192" s="2" t="inlineStr">
        <is>
          <t>Web/API</t>
        </is>
      </c>
      <c r="H192" s="2" t="inlineStr">
        <is>
          <t>Usuario con perfil Auditor autenticado; existe al menos un control médico registrado para el folio 1024.</t>
        </is>
      </c>
      <c r="I192" s="2" t="inlineStr">
        <is>
          <t>1. Iniciar sesión con perfil Auditor. 2. Navegar a Controles Médicos y abrir el registro del folio 1024. 3. Verificar disponibilidad de botones/acciones de crear y editar. 4. Enviar vía API POST /api/v1/controles-medicos con el token del Auditor y un payload válido. 5. Enviar vía API PUT/PATCH sobre el control existente con el token del Auditor.</t>
        </is>
      </c>
      <c r="J192" s="2" t="inlineStr">
        <is>
          <t>El Auditor visualiza los controles en modo solo lectura; las acciones de crear/editar no están disponibles en la UI y las peticiones API de escritura son rechazadas con 403 Forbidden. Ningún dato se modifica.</t>
        </is>
      </c>
      <c r="K192" s="2" t="inlineStr"/>
      <c r="L192" s="2" t="inlineStr"/>
      <c r="M192" s="2" t="inlineStr">
        <is>
          <t>P0</t>
        </is>
      </c>
      <c r="N192" s="3" t="inlineStr">
        <is>
          <t>Critical</t>
        </is>
      </c>
      <c r="O192" s="2" t="inlineStr"/>
      <c r="P192" s="2" t="inlineStr"/>
      <c r="Q192" s="2" t="inlineStr">
        <is>
          <t>BR-6</t>
        </is>
      </c>
    </row>
    <row r="193">
      <c r="A193" s="2" t="inlineStr">
        <is>
          <t>EPIC-06</t>
        </is>
      </c>
      <c r="B193" s="2" t="inlineStr">
        <is>
          <t>TC-CEPA-060-009</t>
        </is>
      </c>
      <c r="C193" s="2" t="inlineStr">
        <is>
          <t>Data Integrity</t>
        </is>
      </c>
      <c r="D193" s="2" t="inlineStr">
        <is>
          <t>Cobertura de columnas de planilla</t>
        </is>
      </c>
      <c r="E193" s="2" t="inlineStr">
        <is>
          <t>Modelo de datos de controles médicos</t>
        </is>
      </c>
      <c r="F193" s="2" t="inlineStr">
        <is>
          <t>Verificar que el módulo de Controles Médicos captura todas las columnas de la hoja «Controles Médicos» (24 columnas) de la planilla Excel original.</t>
        </is>
      </c>
      <c r="G193" s="2" t="inlineStr">
        <is>
          <t>Web/API</t>
        </is>
      </c>
      <c r="H193" s="2" t="inlineStr">
        <is>
          <t>Usuario Administrativo autenticado; folio existente en Ingresos.</t>
        </is>
      </c>
      <c r="I193" s="2" t="inlineStr">
        <is>
          <t>1. Navegar a Controles Médicos &gt; Nuevo control. 2. Registrar un control completando: Folio, Región de derivación, Fecha Ingreso, Paciente, RUT (12.345.678-5), Médico Tratante, Día Próximo Control, Agenda Salutem, Licencia Si/No=sí, Resumen (Término LM), Total días de LM=15, Tipo Licencia=1, Tipo Reposo=total, GAF=55, RECA, Fecha Recepción RECA EP, Control Post Reca EP, Fecha Recepción RECA EC, Fecha Cierre EC, Observaciones generales. 3. Guardar. 4. Consultar el registro vía GET /api/v1/controles-medicos/{id}. 5. Verificar en la vista de gestión que Semana Control aparece calculada.</t>
        </is>
      </c>
      <c r="J193" s="2" t="inlineStr">
        <is>
          <t>Todos los campos equivalentes a las columnas de la hoja «Controles Médicos» existen en el módulo, persisten los valores ingresados y se recuperan íntegros vía UI y API; 'Semana Control' se genera por cálculo automático (no se digita).</t>
        </is>
      </c>
      <c r="K193" s="2" t="inlineStr"/>
      <c r="L193" s="2" t="inlineStr"/>
      <c r="M193" s="2" t="inlineStr">
        <is>
          <t>P0</t>
        </is>
      </c>
      <c r="N193" s="4" t="inlineStr">
        <is>
          <t>Major</t>
        </is>
      </c>
      <c r="O193" s="2" t="inlineStr"/>
      <c r="P193" s="2" t="inlineStr"/>
      <c r="Q193" s="2" t="inlineStr">
        <is>
          <t>PLANILLA</t>
        </is>
      </c>
    </row>
    <row r="194">
      <c r="A194" s="2" t="inlineStr">
        <is>
          <t>EPIC-06</t>
        </is>
      </c>
      <c r="B194" s="2" t="inlineStr">
        <is>
          <t>TC-CEPA-061-001</t>
        </is>
      </c>
      <c r="C194" s="2" t="inlineStr">
        <is>
          <t>Functional</t>
        </is>
      </c>
      <c r="D194" s="2" t="inlineStr">
        <is>
          <t>Programación de próximo control</t>
        </is>
      </c>
      <c r="E194" s="2" t="inlineStr">
        <is>
          <t>Programador de próximo control</t>
        </is>
      </c>
      <c r="F194" s="2" t="inlineStr">
        <is>
          <t>Verificar que el sistema almacena la fecha del próximo control asociada al folio cuando el administrativo la ingresa y guarda.</t>
        </is>
      </c>
      <c r="G194" s="2" t="inlineStr">
        <is>
          <t>Web</t>
        </is>
      </c>
      <c r="H194" s="2" t="inlineStr">
        <is>
          <t>Usuario Administrativo autenticado; control médico registrado para el folio 1024 con fecha de control=2026-03-01.</t>
        </is>
      </c>
      <c r="I194" s="2" t="inlineStr">
        <is>
          <t>1. Abrir el control médico del folio 1024. 2. Ingresar día del próximo control=2026-03-15. 3. Marcar agendado=sí. 4. Hacer clic en 'Guardar'. 5. Reabrir el registro del folio 1024.</t>
        </is>
      </c>
      <c r="J194" s="2" t="inlineStr">
        <is>
          <t>El sistema persiste la fecha del próximo control (2026-03-15) y el estado agendado=sí asociados al folio, visibles al reabrir el registro.</t>
        </is>
      </c>
      <c r="K194" s="2" t="inlineStr"/>
      <c r="L194" s="2" t="inlineStr"/>
      <c r="M194" s="2" t="inlineStr">
        <is>
          <t>P0</t>
        </is>
      </c>
      <c r="N194" s="3" t="inlineStr">
        <is>
          <t>Critical</t>
        </is>
      </c>
      <c r="O194" s="2" t="inlineStr"/>
      <c r="P194" s="2" t="inlineStr"/>
      <c r="Q194" s="2" t="inlineStr">
        <is>
          <t>S1</t>
        </is>
      </c>
    </row>
    <row r="195">
      <c r="A195" s="2" t="inlineStr">
        <is>
          <t>EPIC-06</t>
        </is>
      </c>
      <c r="B195" s="2" t="inlineStr">
        <is>
          <t>TC-CEPA-061-002</t>
        </is>
      </c>
      <c r="C195" s="2" t="inlineStr">
        <is>
          <t>Functional</t>
        </is>
      </c>
      <c r="D195" s="2" t="inlineStr">
        <is>
          <t>Estado de agenda</t>
        </is>
      </c>
      <c r="E195" s="2" t="inlineStr">
        <is>
          <t>Registro de estado de agenda SALUTEM/SAM</t>
        </is>
      </c>
      <c r="F195" s="2" t="inlineStr">
        <is>
          <t>Verificar que el sistema persiste el estado de agenda (sí/no) del próximo control y aplica el valor por defecto 'no' cuando no se indica, sin escribir sobre SALUTEM/SAM.</t>
        </is>
      </c>
      <c r="G195" s="2" t="inlineStr">
        <is>
          <t>Web</t>
        </is>
      </c>
      <c r="H195" s="2" t="inlineStr">
        <is>
          <t>Usuario Administrativo autenticado; control médico registrado para un folio existente.</t>
        </is>
      </c>
      <c r="I195" s="2" t="inlineStr">
        <is>
          <t>1. Abrir el control médico del folio. 2. Ingresar día del próximo control=2026-04-10 sin marcar el estado de agenda. 3. Hacer clic en 'Guardar'. 4. Reabrir el registro y revisar el campo agendado. 5. Editar el registro marcando agendado=sí y guardar. 6. Reabrir el registro.</t>
        </is>
      </c>
      <c r="J195" s="2" t="inlineStr">
        <is>
          <t>Al guardar sin indicar agenda, el sistema asume y persiste agendado=no por defecto. Al marcar agendado=sí, el nuevo estado se persiste. En ningún caso el sistema escribe datos en SALUTEM/SAM (el estado es de registro manual).</t>
        </is>
      </c>
      <c r="K195" s="2" t="inlineStr"/>
      <c r="L195" s="2" t="inlineStr"/>
      <c r="M195" s="2" t="inlineStr">
        <is>
          <t>P0</t>
        </is>
      </c>
      <c r="N195" s="4" t="inlineStr">
        <is>
          <t>Major</t>
        </is>
      </c>
      <c r="O195" s="2" t="inlineStr"/>
      <c r="P195" s="2" t="inlineStr"/>
      <c r="Q195" s="2" t="inlineStr">
        <is>
          <t>S2</t>
        </is>
      </c>
    </row>
    <row r="196">
      <c r="A196" s="2" t="inlineStr">
        <is>
          <t>EPIC-06</t>
        </is>
      </c>
      <c r="B196" s="2" t="inlineStr">
        <is>
          <t>TC-CEPA-061-003</t>
        </is>
      </c>
      <c r="C196" s="2" t="inlineStr">
        <is>
          <t>Functional</t>
        </is>
      </c>
      <c r="D196" s="2" t="inlineStr">
        <is>
          <t>Alerta de próximo control</t>
        </is>
      </c>
      <c r="E196" s="2" t="inlineStr">
        <is>
          <t>Motor de alertas de próximo control</t>
        </is>
      </c>
      <c r="F196" s="2" t="inlineStr">
        <is>
          <t>Verificar que cuando un próximo control entra en la ventana de alerta configurada, la revisión programada genera una alerta in-app visible para el administrativo asignado, incluso con agendado=no.</t>
        </is>
      </c>
      <c r="G196" s="2" t="inlineStr">
        <is>
          <t>Web/API</t>
        </is>
      </c>
      <c r="H196" s="2" t="inlineStr">
        <is>
          <t>Usuario Administrativo autenticado y asignado al caso; próximo control programado dentro de la ventana de alerta (a 2 días de la fecha actual) con agendado=no.</t>
        </is>
      </c>
      <c r="I196" s="2" t="inlineStr">
        <is>
          <t>1. Programar para el folio 1024 un próximo control a 2 días de la fecha actual con agendado=no. 2. Ejecutar (o esperar) la revisión programada del motor de alertas. 3. Iniciar sesión como el administrativo asignado. 4. Revisar el panel/bandeja de alertas in-app.</t>
        </is>
      </c>
      <c r="J196" s="2" t="inlineStr">
        <is>
          <t>Se genera una alerta in-app de próximo control visible para el administrativo asignado, aunque agendado=no (la alerta es independiente del estado de agenda, referencia EPIC-10 / PRD §7.11).</t>
        </is>
      </c>
      <c r="K196" s="2" t="inlineStr"/>
      <c r="L196" s="2" t="inlineStr"/>
      <c r="M196" s="2" t="inlineStr">
        <is>
          <t>P0</t>
        </is>
      </c>
      <c r="N196" s="3" t="inlineStr">
        <is>
          <t>Critical</t>
        </is>
      </c>
      <c r="O196" s="2" t="inlineStr"/>
      <c r="P196" s="2" t="inlineStr"/>
      <c r="Q196" s="2" t="inlineStr">
        <is>
          <t>S1</t>
        </is>
      </c>
    </row>
    <row r="197">
      <c r="A197" s="2" t="inlineStr">
        <is>
          <t>EPIC-06</t>
        </is>
      </c>
      <c r="B197" s="2" t="inlineStr">
        <is>
          <t>TC-CEPA-061-004</t>
        </is>
      </c>
      <c r="C197" s="2" t="inlineStr">
        <is>
          <t>Functional</t>
        </is>
      </c>
      <c r="D197" s="2" t="inlineStr">
        <is>
          <t>Validación de fechas</t>
        </is>
      </c>
      <c r="E197" s="2" t="inlineStr">
        <is>
          <t>Programador de próximo control</t>
        </is>
      </c>
      <c r="F197" s="2" t="inlineStr">
        <is>
          <t>Verificar que el sistema rechaza un día de próximo control anterior a la fecha del control actual e informa que debe ser posterior.</t>
        </is>
      </c>
      <c r="G197" s="2" t="inlineStr">
        <is>
          <t>Web</t>
        </is>
      </c>
      <c r="H197" s="2" t="inlineStr">
        <is>
          <t>Usuario Administrativo autenticado; control médico registrado con fecha de control actual=2026-03-01.</t>
        </is>
      </c>
      <c r="I197" s="2" t="inlineStr">
        <is>
          <t>1. Abrir el control médico del folio con fecha de control=2026-03-01. 2. Ingresar día del próximo control=2026-02-20 (anterior al control actual). 3. Hacer clic en 'Guardar'.</t>
        </is>
      </c>
      <c r="J197" s="2" t="inlineStr">
        <is>
          <t>El sistema rechaza el valor e informa que el próximo control debe ser posterior a la fecha del control actual; no se persiste el dato.</t>
        </is>
      </c>
      <c r="K197" s="2" t="inlineStr"/>
      <c r="L197" s="2" t="inlineStr"/>
      <c r="M197" s="2" t="inlineStr">
        <is>
          <t>P0</t>
        </is>
      </c>
      <c r="N197" s="4" t="inlineStr">
        <is>
          <t>Major</t>
        </is>
      </c>
      <c r="O197" s="2" t="inlineStr"/>
      <c r="P197" s="2" t="inlineStr"/>
      <c r="Q197" s="2" t="inlineStr">
        <is>
          <t>S4</t>
        </is>
      </c>
    </row>
    <row r="198">
      <c r="A198" s="2" t="inlineStr">
        <is>
          <t>EPIC-06</t>
        </is>
      </c>
      <c r="B198" s="2" t="inlineStr">
        <is>
          <t>TC-CEPA-061-005</t>
        </is>
      </c>
      <c r="C198" s="2" t="inlineStr">
        <is>
          <t>Business Rules</t>
        </is>
      </c>
      <c r="D198" s="2" t="inlineStr">
        <is>
          <t>Unicidad de próximo control</t>
        </is>
      </c>
      <c r="E198" s="2" t="inlineStr">
        <is>
          <t>Programador de próximo control</t>
        </is>
      </c>
      <c r="F198" s="2" t="inlineStr">
        <is>
          <t>Verificar que un folio solo puede tener un próximo control vigente a la vez y que programar uno nuevo reemplaza/cierra el pendiente anterior.</t>
        </is>
      </c>
      <c r="G198" s="2" t="inlineStr">
        <is>
          <t>Web</t>
        </is>
      </c>
      <c r="H198" s="2" t="inlineStr">
        <is>
          <t>Usuario Administrativo autenticado; folio 1024 tiene un próximo control pendiente programado para 2026-03-15.</t>
        </is>
      </c>
      <c r="I198" s="2" t="inlineStr">
        <is>
          <t>1. Abrir el control médico del folio 1024. 2. Programar un nuevo próximo control con fecha 2026-04-01. 3. Hacer clic en 'Guardar'. 4. Consultar los próximos controles vigentes del folio 1024.</t>
        </is>
      </c>
      <c r="J198" s="2" t="inlineStr">
        <is>
          <t>El próximo control pendiente anterior (2026-03-15) queda cerrado/reemplazado y el folio tiene un único próximo control vigente (2026-04-01).</t>
        </is>
      </c>
      <c r="K198" s="2" t="inlineStr"/>
      <c r="L198" s="2" t="inlineStr"/>
      <c r="M198" s="2" t="inlineStr">
        <is>
          <t>P0</t>
        </is>
      </c>
      <c r="N198" s="4" t="inlineStr">
        <is>
          <t>Major</t>
        </is>
      </c>
      <c r="O198" s="2" t="inlineStr"/>
      <c r="P198" s="2" t="inlineStr"/>
      <c r="Q198" s="2" t="inlineStr">
        <is>
          <t>BR-4</t>
        </is>
      </c>
    </row>
    <row r="199">
      <c r="A199" s="2" t="inlineStr">
        <is>
          <t>EPIC-06</t>
        </is>
      </c>
      <c r="B199" s="2" t="inlineStr">
        <is>
          <t>TC-CEPA-061-006</t>
        </is>
      </c>
      <c r="C199" s="2" t="inlineStr">
        <is>
          <t>Security</t>
        </is>
      </c>
      <c r="D199" s="2" t="inlineStr">
        <is>
          <t>RBAC</t>
        </is>
      </c>
      <c r="E199" s="2" t="inlineStr">
        <is>
          <t>Control de acceso por perfil (RBAC)</t>
        </is>
      </c>
      <c r="F199" s="2" t="inlineStr">
        <is>
          <t>Verificar que el perfil Auditor no puede programar ni editar el próximo control ni su estado de agenda; acceso solo lectura en UI y API.</t>
        </is>
      </c>
      <c r="G199" s="2" t="inlineStr">
        <is>
          <t>Web/API</t>
        </is>
      </c>
      <c r="H199" s="2" t="inlineStr">
        <is>
          <t>Usuario con perfil Auditor autenticado; control médico con próximo control programado para el folio 1024.</t>
        </is>
      </c>
      <c r="I199" s="2" t="inlineStr">
        <is>
          <t>1. Iniciar sesión con perfil Auditor. 2. Abrir el control médico del folio 1024. 3. Verificar disponibilidad de los campos día del próximo control y agendado. 4. Enviar vía API PUT/PATCH la actualización del próximo control con el token del Auditor.</t>
        </is>
      </c>
      <c r="J199" s="2" t="inlineStr">
        <is>
          <t>Los campos de programación no son editables en la UI para el Auditor y la petición API de escritura es rechazada con 403 Forbidden; los datos permanecen sin cambios y siguen visibles en modo lectura.</t>
        </is>
      </c>
      <c r="K199" s="2" t="inlineStr"/>
      <c r="L199" s="2" t="inlineStr"/>
      <c r="M199" s="2" t="inlineStr">
        <is>
          <t>P0</t>
        </is>
      </c>
      <c r="N199" s="3" t="inlineStr">
        <is>
          <t>Critical</t>
        </is>
      </c>
      <c r="O199" s="2" t="inlineStr"/>
      <c r="P199" s="2" t="inlineStr"/>
      <c r="Q199" s="2" t="inlineStr">
        <is>
          <t>BR-5</t>
        </is>
      </c>
    </row>
    <row r="200">
      <c r="A200" s="2" t="inlineStr">
        <is>
          <t>EPIC-06</t>
        </is>
      </c>
      <c r="B200" s="2" t="inlineStr">
        <is>
          <t>TC-CEPA-062-001</t>
        </is>
      </c>
      <c r="C200" s="2" t="inlineStr">
        <is>
          <t>Functional</t>
        </is>
      </c>
      <c r="D200" s="2" t="inlineStr">
        <is>
          <t>Registro de licencia</t>
        </is>
      </c>
      <c r="E200" s="2" t="inlineStr">
        <is>
          <t>Registro de licencia asociada al control</t>
        </is>
      </c>
      <c r="F200" s="2" t="inlineStr">
        <is>
          <t>Verificar que con Licencia=sí el sistema persiste resumen de término de LM, total de días de LM, tipo de licencia, tipo de reposo y GAF asociados al control.</t>
        </is>
      </c>
      <c r="G200" s="2" t="inlineStr">
        <is>
          <t>Web</t>
        </is>
      </c>
      <c r="H200" s="2" t="inlineStr">
        <is>
          <t>Usuario Administrativo autenticado; control médico existente para folio 1024 con licencia=sí.</t>
        </is>
      </c>
      <c r="I200" s="2" t="inlineStr">
        <is>
          <t>1. Abrir el control médico del folio 1024. 2. Marcar Licencia=sí. 3. Ingresar resumen de término de LM='Término 2026-03-20', total de días de LM=15, tipo de licencia=1, tipo de reposo=total, GAF=55. 4. Hacer clic en 'Guardar'. 5. Reabrir el registro.</t>
        </is>
      </c>
      <c r="J200" s="2" t="inlineStr">
        <is>
          <t>El sistema persiste los datos de licencia (resumen de término, total de días=15, tipo=1, reposo=total) y GAF=55 asociados al control, visibles al reabrir.</t>
        </is>
      </c>
      <c r="K200" s="2" t="inlineStr"/>
      <c r="L200" s="2" t="inlineStr"/>
      <c r="M200" s="2" t="inlineStr">
        <is>
          <t>P0</t>
        </is>
      </c>
      <c r="N200" s="3" t="inlineStr">
        <is>
          <t>Critical</t>
        </is>
      </c>
      <c r="O200" s="2" t="inlineStr"/>
      <c r="P200" s="2" t="inlineStr"/>
      <c r="Q200" s="2" t="inlineStr">
        <is>
          <t>S1</t>
        </is>
      </c>
    </row>
    <row r="201">
      <c r="A201" s="2" t="inlineStr">
        <is>
          <t>EPIC-06</t>
        </is>
      </c>
      <c r="B201" s="2" t="inlineStr">
        <is>
          <t>TC-CEPA-062-002</t>
        </is>
      </c>
      <c r="C201" s="2" t="inlineStr">
        <is>
          <t>Functional</t>
        </is>
      </c>
      <c r="D201" s="2" t="inlineStr">
        <is>
          <t>Licencia no aplica</t>
        </is>
      </c>
      <c r="E201" s="2" t="inlineStr">
        <is>
          <t>Registro de licencia asociada al control</t>
        </is>
      </c>
      <c r="F201" s="2" t="inlineStr">
        <is>
          <t>Verificar que con Licencia=no el sistema no exige los campos de licencia y guarda el control dejándolos vacíos/no aplica.</t>
        </is>
      </c>
      <c r="G201" s="2" t="inlineStr">
        <is>
          <t>Web</t>
        </is>
      </c>
      <c r="H201" s="2" t="inlineStr">
        <is>
          <t>Usuario Administrativo autenticado; control médico existente para un folio.</t>
        </is>
      </c>
      <c r="I201" s="2" t="inlineStr">
        <is>
          <t>1. Abrir el control médico del folio. 2. Marcar Licencia=no. 3. Dejar vacíos los campos resumen de término de LM, total de días de LM, tipo de licencia y tipo de reposo. 4. Hacer clic en 'Guardar'. 5. Reabrir el registro.</t>
        </is>
      </c>
      <c r="J201" s="2" t="inlineStr">
        <is>
          <t>El control se guarda correctamente sin exigir los campos de licencia; dichos campos quedan vacíos/marcados como no aplica.</t>
        </is>
      </c>
      <c r="K201" s="2" t="inlineStr"/>
      <c r="L201" s="2" t="inlineStr"/>
      <c r="M201" s="2" t="inlineStr">
        <is>
          <t>P0</t>
        </is>
      </c>
      <c r="N201" s="4" t="inlineStr">
        <is>
          <t>Major</t>
        </is>
      </c>
      <c r="O201" s="2" t="inlineStr"/>
      <c r="P201" s="2" t="inlineStr"/>
      <c r="Q201" s="2" t="inlineStr">
        <is>
          <t>S2</t>
        </is>
      </c>
    </row>
    <row r="202">
      <c r="A202" s="2" t="inlineStr">
        <is>
          <t>EPIC-06</t>
        </is>
      </c>
      <c r="B202" s="2" t="inlineStr">
        <is>
          <t>TC-CEPA-062-003</t>
        </is>
      </c>
      <c r="C202" s="2" t="inlineStr">
        <is>
          <t>Functional</t>
        </is>
      </c>
      <c r="D202" s="2" t="inlineStr">
        <is>
          <t>Validación rango GAF</t>
        </is>
      </c>
      <c r="E202" s="2" t="inlineStr">
        <is>
          <t>Validador de GAF</t>
        </is>
      </c>
      <c r="F202" s="2" t="inlineStr">
        <is>
          <t>Verificar que el sistema rechaza valores de GAF fuera del rango 0–100 e informa el rango válido.</t>
        </is>
      </c>
      <c r="G202" s="2" t="inlineStr">
        <is>
          <t>Web</t>
        </is>
      </c>
      <c r="H202" s="2" t="inlineStr">
        <is>
          <t>Usuario Administrativo autenticado; control médico existente con licencia=sí.</t>
        </is>
      </c>
      <c r="I202" s="2" t="inlineStr">
        <is>
          <t>1. Abrir el control médico. 2. Ingresar GAF=120. 3. Hacer clic en 'Guardar'. 4. Ingresar GAF=-5. 5. Hacer clic en 'Guardar'.</t>
        </is>
      </c>
      <c r="J202" s="2" t="inlineStr">
        <is>
          <t>En ambos casos el sistema rechaza el valor e informa que el GAF debe estar en el rango 0–100; el valor no se persiste.</t>
        </is>
      </c>
      <c r="K202" s="2" t="inlineStr"/>
      <c r="L202" s="2" t="inlineStr"/>
      <c r="M202" s="2" t="inlineStr">
        <is>
          <t>P0</t>
        </is>
      </c>
      <c r="N202" s="4" t="inlineStr">
        <is>
          <t>Major</t>
        </is>
      </c>
      <c r="O202" s="2" t="inlineStr"/>
      <c r="P202" s="2" t="inlineStr"/>
      <c r="Q202" s="2" t="inlineStr">
        <is>
          <t>S4</t>
        </is>
      </c>
    </row>
    <row r="203">
      <c r="A203" s="2" t="inlineStr">
        <is>
          <t>EPIC-06</t>
        </is>
      </c>
      <c r="B203" s="2" t="inlineStr">
        <is>
          <t>TC-CEPA-062-004</t>
        </is>
      </c>
      <c r="C203" s="2" t="inlineStr">
        <is>
          <t>Functional</t>
        </is>
      </c>
      <c r="D203" s="2" t="inlineStr">
        <is>
          <t>Estado RECA y observaciones</t>
        </is>
      </c>
      <c r="E203" s="2" t="inlineStr">
        <is>
          <t>Registro de estado RECA y observaciones</t>
        </is>
      </c>
      <c r="F203" s="2" t="inlineStr">
        <is>
          <t>Verificar que el sistema persiste el estado RECA y las observaciones generales del control, visibles en la vista de gestión y para el perfil Auditor.</t>
        </is>
      </c>
      <c r="G203" s="2" t="inlineStr">
        <is>
          <t>Web</t>
        </is>
      </c>
      <c r="H203" s="2" t="inlineStr">
        <is>
          <t>Usuario Administrativo autenticado; control médico existente para folio 1024; existe además un usuario con perfil Auditor.</t>
        </is>
      </c>
      <c r="I203" s="2" t="inlineStr">
        <is>
          <t>1. Abrir el control médico del folio 1024. 2. Ingresar estado RECA='Pendiente' y observaciones generales='Reevaluar en próximo control'. 3. Hacer clic en 'Guardar'. 4. Verificar el registro en la vista de gestión de controles. 5. Iniciar sesión con el usuario Auditor y abrir el mismo control.</t>
        </is>
      </c>
      <c r="J203" s="2" t="inlineStr">
        <is>
          <t>El estado RECA y las observaciones se persisten, se muestran en la vista de gestión de controles y son visibles (en modo lectura) para el Auditor.</t>
        </is>
      </c>
      <c r="K203" s="2" t="inlineStr"/>
      <c r="L203" s="2" t="inlineStr"/>
      <c r="M203" s="2" t="inlineStr">
        <is>
          <t>P0</t>
        </is>
      </c>
      <c r="N203" s="4" t="inlineStr">
        <is>
          <t>Major</t>
        </is>
      </c>
      <c r="O203" s="2" t="inlineStr"/>
      <c r="P203" s="2" t="inlineStr"/>
      <c r="Q203" s="2" t="inlineStr">
        <is>
          <t>S1</t>
        </is>
      </c>
    </row>
    <row r="204">
      <c r="A204" s="2" t="inlineStr">
        <is>
          <t>EPIC-06</t>
        </is>
      </c>
      <c r="B204" s="2" t="inlineStr">
        <is>
          <t>TC-CEPA-062-005</t>
        </is>
      </c>
      <c r="C204" s="2" t="inlineStr">
        <is>
          <t>Business Rules</t>
        </is>
      </c>
      <c r="D204" s="2" t="inlineStr">
        <is>
          <t>Obligatoriedad condicional</t>
        </is>
      </c>
      <c r="E204" s="2" t="inlineStr">
        <is>
          <t>Registro de licencia asociada al control</t>
        </is>
      </c>
      <c r="F204" s="2" t="inlineStr">
        <is>
          <t>Verificar que con Licencia=sí el sistema bloquea el guardado si faltan los campos obligatorios de licencia (resumen de término, total de días, tipo de licencia, tipo de reposo).</t>
        </is>
      </c>
      <c r="G204" s="2" t="inlineStr">
        <is>
          <t>Web</t>
        </is>
      </c>
      <c r="H204" s="2" t="inlineStr">
        <is>
          <t>Usuario Administrativo autenticado; control médico existente con licencia=sí.</t>
        </is>
      </c>
      <c r="I204" s="2" t="inlineStr">
        <is>
          <t>1. Abrir el control médico. 2. Marcar Licencia=sí. 3. Dejar vacíos total de días de LM, tipo de reposo, tipo de licencia y resumen de término de LM. 4. Hacer clic en 'Guardar'.</t>
        </is>
      </c>
      <c r="J204" s="2" t="inlineStr">
        <is>
          <t>El sistema bloquea el guardado e indica que los campos de licencia (resumen de término de LM, total de días, tipo de licencia, tipo de reposo) son obligatorios cuando Licencia=sí; el registro no se persiste.</t>
        </is>
      </c>
      <c r="K204" s="2" t="inlineStr"/>
      <c r="L204" s="2" t="inlineStr"/>
      <c r="M204" s="2" t="inlineStr">
        <is>
          <t>P0</t>
        </is>
      </c>
      <c r="N204" s="4" t="inlineStr">
        <is>
          <t>Major</t>
        </is>
      </c>
      <c r="O204" s="2" t="inlineStr"/>
      <c r="P204" s="2" t="inlineStr"/>
      <c r="Q204" s="2" t="inlineStr">
        <is>
          <t>BR-1</t>
        </is>
      </c>
    </row>
    <row r="205">
      <c r="A205" s="2" t="inlineStr">
        <is>
          <t>EPIC-06</t>
        </is>
      </c>
      <c r="B205" s="2" t="inlineStr">
        <is>
          <t>TC-CEPA-062-006</t>
        </is>
      </c>
      <c r="C205" s="2" t="inlineStr">
        <is>
          <t>Business Rules</t>
        </is>
      </c>
      <c r="D205" s="2" t="inlineStr">
        <is>
          <t>Validación de dominio</t>
        </is>
      </c>
      <c r="E205" s="2" t="inlineStr">
        <is>
          <t>Registro de licencia asociada al control</t>
        </is>
      </c>
      <c r="F205" s="2" t="inlineStr">
        <is>
          <t>Verificar que tipo_reposo solo acepta los valores {total, parcial} y que total_días_LM solo acepta enteros mayores o iguales a 1.</t>
        </is>
      </c>
      <c r="G205" s="2" t="inlineStr">
        <is>
          <t>Web/API</t>
        </is>
      </c>
      <c r="H205" s="2" t="inlineStr">
        <is>
          <t>Usuario Administrativo autenticado; control médico existente con licencia=sí.</t>
        </is>
      </c>
      <c r="I205" s="2" t="inlineStr">
        <is>
          <t>1. Abrir el control médico con licencia=sí. 2. Revisar las opciones disponibles del campo tipo de reposo en la UI. 3. Enviar vía API PUT/PATCH el control con tipo_reposo='intermitente'. 4. Ingresar total de días de LM=0 y hacer clic en 'Guardar'. 5. Ingresar total de días de LM=7.5 y hacer clic en 'Guardar'. 6. Ingresar total de días de LM=1, tipo de reposo=parcial y hacer clic en 'Guardar'.</t>
        </is>
      </c>
      <c r="J205" s="2" t="inlineStr">
        <is>
          <t>El campo tipo de reposo solo ofrece 'total' y 'parcial'; la API rechaza valores fuera del catálogo. Los valores 0 y 7.5 en total de días son rechazados (debe ser entero ≥ 1). El guardado con total_días=1 y reposo=parcial se persiste correctamente.</t>
        </is>
      </c>
      <c r="K205" s="2" t="inlineStr"/>
      <c r="L205" s="2" t="inlineStr"/>
      <c r="M205" s="2" t="inlineStr">
        <is>
          <t>P0</t>
        </is>
      </c>
      <c r="N205" s="4" t="inlineStr">
        <is>
          <t>Major</t>
        </is>
      </c>
      <c r="O205" s="2" t="inlineStr"/>
      <c r="P205" s="2" t="inlineStr"/>
      <c r="Q205" s="2" t="inlineStr">
        <is>
          <t>BR-2</t>
        </is>
      </c>
    </row>
    <row r="206">
      <c r="A206" s="2" t="inlineStr">
        <is>
          <t>EPIC-06</t>
        </is>
      </c>
      <c r="B206" s="2" t="inlineStr">
        <is>
          <t>TC-CEPA-062-007</t>
        </is>
      </c>
      <c r="C206" s="2" t="inlineStr">
        <is>
          <t>Data Integrity</t>
        </is>
      </c>
      <c r="D206" s="2" t="inlineStr">
        <is>
          <t>Catálogo cerrado</t>
        </is>
      </c>
      <c r="E206" s="2" t="inlineStr">
        <is>
          <t>Catálogo de tipos de licencia médica</t>
        </is>
      </c>
      <c r="F206" s="2" t="inlineStr">
        <is>
          <t>Verificar que tipo_licencia toma solo valores del catálogo de tipos de LM (ej. tipo 1, 5, 6) consistente con §7.7.1, incluyendo licencias extra-sistema (D7), y rechaza valores fuera de catálogo.</t>
        </is>
      </c>
      <c r="G206" s="2" t="inlineStr">
        <is>
          <t>Web/API</t>
        </is>
      </c>
      <c r="H206" s="2" t="inlineStr">
        <is>
          <t>Usuario Administrativo autenticado; control médico existente con licencia=sí; catálogo de tipos de LM configurado.</t>
        </is>
      </c>
      <c r="I206" s="2" t="inlineStr">
        <is>
          <t>1. Abrir el control médico con licencia=sí. 2. Desplegar el campo tipo de licencia y revisar las opciones ofrecidas. 3. Seleccionar tipo de licencia=5 y hacer clic en 'Guardar'. 4. Enviar vía API PUT/PATCH el control con tipo_licencia=99 (fuera de catálogo).</t>
        </is>
      </c>
      <c r="J206" s="2" t="inlineStr">
        <is>
          <t>La UI solo ofrece los tipos del catálogo de LM (ej. 1, 5, 6 y los definidos, incluidas licencias extra-sistema si están catalogadas); el valor 5 se persiste correctamente; la API rechaza el valor 99 fuera de catálogo con error de validación.</t>
        </is>
      </c>
      <c r="K206" s="2" t="inlineStr"/>
      <c r="L206" s="2" t="inlineStr"/>
      <c r="M206" s="2" t="inlineStr">
        <is>
          <t>P0</t>
        </is>
      </c>
      <c r="N206" s="4" t="inlineStr">
        <is>
          <t>Major</t>
        </is>
      </c>
      <c r="O206" s="2" t="inlineStr"/>
      <c r="P206" s="2" t="inlineStr"/>
      <c r="Q206" s="2" t="inlineStr">
        <is>
          <t>BR-4</t>
        </is>
      </c>
    </row>
    <row r="207">
      <c r="A207" s="2" t="inlineStr">
        <is>
          <t>EPIC-06</t>
        </is>
      </c>
      <c r="B207" s="2" t="inlineStr">
        <is>
          <t>TC-CEPA-062-008</t>
        </is>
      </c>
      <c r="C207" s="2" t="inlineStr">
        <is>
          <t>Business Rules</t>
        </is>
      </c>
      <c r="D207" s="2" t="inlineStr">
        <is>
          <t>Editabilidad independiente</t>
        </is>
      </c>
      <c r="E207" s="2" t="inlineStr">
        <is>
          <t>Registro de estado RECA y observaciones</t>
        </is>
      </c>
      <c r="F207" s="2" t="inlineStr">
        <is>
          <t>Verificar que el estado RECA y las observaciones generales son editables aunque el control tenga Licencia=no.</t>
        </is>
      </c>
      <c r="G207" s="2" t="inlineStr">
        <is>
          <t>Web</t>
        </is>
      </c>
      <c r="H207" s="2" t="inlineStr">
        <is>
          <t>Usuario Administrativo autenticado; control médico existente con licencia=no.</t>
        </is>
      </c>
      <c r="I207" s="2" t="inlineStr">
        <is>
          <t>1. Abrir el control médico con Licencia=no. 2. Ingresar estado RECA='Recibida EP' y observaciones generales='Sin licencia asociada, seguimiento normal'. 3. Hacer clic en 'Guardar'. 4. Reabrir el registro.</t>
        </is>
      </c>
      <c r="J207" s="2" t="inlineStr">
        <is>
          <t>El estado RECA y las observaciones se editan y persisten correctamente pese a que Licencia=no; los campos de licencia permanecen vacíos/no aplica.</t>
        </is>
      </c>
      <c r="K207" s="2" t="inlineStr"/>
      <c r="L207" s="2" t="inlineStr"/>
      <c r="M207" s="2" t="inlineStr">
        <is>
          <t>P0</t>
        </is>
      </c>
      <c r="N207" s="5" t="inlineStr">
        <is>
          <t>Medium</t>
        </is>
      </c>
      <c r="O207" s="2" t="inlineStr"/>
      <c r="P207" s="2" t="inlineStr"/>
      <c r="Q207" s="2" t="inlineStr">
        <is>
          <t>BR-5</t>
        </is>
      </c>
    </row>
    <row r="208">
      <c r="A208" s="2" t="inlineStr">
        <is>
          <t>EPIC-06</t>
        </is>
      </c>
      <c r="B208" s="2" t="inlineStr">
        <is>
          <t>TC-CEPA-062-009</t>
        </is>
      </c>
      <c r="C208" s="2" t="inlineStr">
        <is>
          <t>Security</t>
        </is>
      </c>
      <c r="D208" s="2" t="inlineStr">
        <is>
          <t>RBAC</t>
        </is>
      </c>
      <c r="E208" s="2" t="inlineStr">
        <is>
          <t>Control de acceso por perfil (RBAC)</t>
        </is>
      </c>
      <c r="F208" s="2" t="inlineStr">
        <is>
          <t>Verificar que el perfil Auditor no puede editar licencia, GAF, estado RECA ni observaciones del control; acceso solo lectura en UI y API.</t>
        </is>
      </c>
      <c r="G208" s="2" t="inlineStr">
        <is>
          <t>Web/API</t>
        </is>
      </c>
      <c r="H208" s="2" t="inlineStr">
        <is>
          <t>Usuario con perfil Auditor autenticado; control médico existente con datos de licencia y RECA registrados.</t>
        </is>
      </c>
      <c r="I208" s="2" t="inlineStr">
        <is>
          <t>1. Iniciar sesión con perfil Auditor. 2. Abrir el control médico del folio 1024. 3. Verificar el estado de los campos de licencia, GAF, estado RECA y observaciones. 4. Enviar vía API PUT/PATCH la modificación del estado RECA con el token del Auditor.</t>
        </is>
      </c>
      <c r="J208" s="2" t="inlineStr">
        <is>
          <t>Los campos se muestran en modo solo lectura para el Auditor (sin acciones de edición) y la petición API de escritura es rechazada con 403 Forbidden; los datos permanecen sin cambios (PRD §5.3).</t>
        </is>
      </c>
      <c r="K208" s="2" t="inlineStr"/>
      <c r="L208" s="2" t="inlineStr"/>
      <c r="M208" s="2" t="inlineStr">
        <is>
          <t>P0</t>
        </is>
      </c>
      <c r="N208" s="3" t="inlineStr">
        <is>
          <t>Critical</t>
        </is>
      </c>
      <c r="O208" s="2" t="inlineStr"/>
      <c r="P208" s="2" t="inlineStr"/>
      <c r="Q208" s="2" t="inlineStr">
        <is>
          <t>BR-6</t>
        </is>
      </c>
    </row>
    <row r="209">
      <c r="A209" s="2" t="inlineStr">
        <is>
          <t>EPIC-06</t>
        </is>
      </c>
      <c r="B209" s="2" t="inlineStr">
        <is>
          <t>TC-CEPA-062-010</t>
        </is>
      </c>
      <c r="C209" s="2" t="inlineStr">
        <is>
          <t>Data Integrity</t>
        </is>
      </c>
      <c r="D209" s="2" t="inlineStr">
        <is>
          <t>Catálogos cerrados de planilla</t>
        </is>
      </c>
      <c r="E209" s="2" t="inlineStr">
        <is>
          <t>Catálogos del módulo de controles médicos</t>
        </is>
      </c>
      <c r="F209" s="2" t="inlineStr">
        <is>
          <t>Verificar que los campos tipo lista de la hoja «Controles Médicos» (Licencia Si/No, Agenda Salutem sí/no, Tipo Reposo total/parcial, Tipo Licencia) se manejan como catálogos cerrados y no como texto libre.</t>
        </is>
      </c>
      <c r="G209" s="2" t="inlineStr">
        <is>
          <t>Web/API</t>
        </is>
      </c>
      <c r="H209" s="2" t="inlineStr">
        <is>
          <t>Usuario Administrativo autenticado; control médico existente para un folio.</t>
        </is>
      </c>
      <c r="I209" s="2" t="inlineStr">
        <is>
          <t>1. Abrir el control médico. 2. Revisar que Licencia Si/No solo ofrece los valores sí/no. 3. Revisar que Agenda Salutem (agendado) solo ofrece sí/no. 4. Revisar que Tipo Reposo solo ofrece total/parcial. 5. Revisar que Tipo Licencia solo ofrece los valores del catálogo de LM. 6. Enviar vía API PUT/PATCH valores libres fuera de catálogo en cada uno de esos campos (ej. licencia='quizás', agendado='pendiente', tipo_reposo='mixto').</t>
        </is>
      </c>
      <c r="J209" s="2" t="inlineStr">
        <is>
          <t>Cada campo tipo lista se presenta como selector con catálogo cerrado en la UI y la API rechaza con error de validación cualquier valor fuera de catálogo; no se persisten valores libres.</t>
        </is>
      </c>
      <c r="K209" s="2" t="inlineStr"/>
      <c r="L209" s="2" t="inlineStr"/>
      <c r="M209" s="2" t="inlineStr">
        <is>
          <t>P0</t>
        </is>
      </c>
      <c r="N209" s="4" t="inlineStr">
        <is>
          <t>Major</t>
        </is>
      </c>
      <c r="O209" s="2" t="inlineStr"/>
      <c r="P209" s="2" t="inlineStr"/>
      <c r="Q209" s="2" t="inlineStr">
        <is>
          <t>PLANILLA</t>
        </is>
      </c>
    </row>
    <row r="210">
      <c r="A210" s="2" t="inlineStr">
        <is>
          <t>EPIC-07</t>
        </is>
      </c>
      <c r="B210" s="2" t="inlineStr">
        <is>
          <t>TC-CEPA-070-001</t>
        </is>
      </c>
      <c r="C210" s="2" t="inlineStr">
        <is>
          <t>Functional</t>
        </is>
      </c>
      <c r="D210" s="2" t="inlineStr">
        <is>
          <t>Registro de LM</t>
        </is>
      </c>
      <c r="E210" s="2" t="inlineStr">
        <is>
          <t>Formulario de registro de licencia médica</t>
        </is>
      </c>
      <c r="F210" s="2" t="inlineStr">
        <is>
          <t>Verificar que una LM con todos los campos obligatorios completos queda registrada, vinculada al folio del paciente y visible en su historial de licencias.</t>
        </is>
      </c>
      <c r="G210" s="2" t="inlineStr">
        <is>
          <t>Web</t>
        </is>
      </c>
      <c r="H210" s="2" t="inlineStr">
        <is>
          <t>Usuario Administrativo autenticado; paciente con folio existente (folio 2026-0154, RUT 16.396.170-4) seleccionado en el formulario de nueva LM.</t>
        </is>
      </c>
      <c r="I210" s="2" t="inlineStr">
        <is>
          <t>1. Navegar al módulo Licencias Médicas y hacer clic en 'Nueva LM'. 2. Seleccionar el paciente por RUT 16.396.170-4 / folio 2026-0154. 3. Ingresar región=Maule, nombre=Ana Rojas, folio LM=LM-88231, cantidad de días=15, fecha inicio=01/06/2026, fecha término=15/06/2026, tipo de reposo=total, tipo de LM=1, diagnóstico=F32.1. 4. Hacer clic en 'Guardar'. 5. Abrir el historial de licencias del paciente.</t>
        </is>
      </c>
      <c r="J210" s="2" t="inlineStr">
        <is>
          <t>La LM queda registrada y vinculada al folio 2026-0154; aparece en el historial de licencias del paciente con los datos ingresados.</t>
        </is>
      </c>
      <c r="K210" s="2" t="inlineStr"/>
      <c r="L210" s="2" t="inlineStr"/>
      <c r="M210" s="2" t="inlineStr">
        <is>
          <t>P0</t>
        </is>
      </c>
      <c r="N210" s="3" t="inlineStr">
        <is>
          <t>Critical</t>
        </is>
      </c>
      <c r="O210" s="2" t="inlineStr"/>
      <c r="P210" s="2" t="inlineStr"/>
      <c r="Q210" s="2" t="inlineStr">
        <is>
          <t>S1</t>
        </is>
      </c>
    </row>
    <row r="211">
      <c r="A211" s="2" t="inlineStr">
        <is>
          <t>EPIC-07</t>
        </is>
      </c>
      <c r="B211" s="2" t="inlineStr">
        <is>
          <t>TC-CEPA-070-002</t>
        </is>
      </c>
      <c r="C211" s="2" t="inlineStr">
        <is>
          <t>Functional</t>
        </is>
      </c>
      <c r="D211" s="2" t="inlineStr">
        <is>
          <t>Validación de fechas</t>
        </is>
      </c>
      <c r="E211" s="2" t="inlineStr">
        <is>
          <t>Validador de fechas de LM</t>
        </is>
      </c>
      <c r="F211" s="2" t="inlineStr">
        <is>
          <t>Verificar que el sistema rechaza una LM con fecha de término anterior a la fecha de inicio, mostrando error específico y conservando los datos ingresados.</t>
        </is>
      </c>
      <c r="G211" s="2" t="inlineStr">
        <is>
          <t>Web</t>
        </is>
      </c>
      <c r="H211" s="2" t="inlineStr">
        <is>
          <t>Usuario Administrativo autenticado; formulario de nueva LM abierto con paciente seleccionado.</t>
        </is>
      </c>
      <c r="I211" s="2" t="inlineStr">
        <is>
          <t>1. Completar los campos obligatorios de la LM. 2. Ingresar fecha de inicio=15/06/2026 y fecha de término=01/06/2026. 3. Hacer clic en 'Guardar'.</t>
        </is>
      </c>
      <c r="J211" s="2" t="inlineStr">
        <is>
          <t>El sistema muestra un error de validación específico indicando que la fecha de término no puede ser anterior a la de inicio; la LM no se guarda y los datos ya ingresados se conservan en el formulario.</t>
        </is>
      </c>
      <c r="K211" s="2" t="inlineStr"/>
      <c r="L211" s="2" t="inlineStr"/>
      <c r="M211" s="2" t="inlineStr">
        <is>
          <t>P0</t>
        </is>
      </c>
      <c r="N211" s="4" t="inlineStr">
        <is>
          <t>Major</t>
        </is>
      </c>
      <c r="O211" s="2" t="inlineStr"/>
      <c r="P211" s="2" t="inlineStr"/>
      <c r="Q211" s="2" t="inlineStr">
        <is>
          <t>S4</t>
        </is>
      </c>
    </row>
    <row r="212">
      <c r="A212" s="2" t="inlineStr">
        <is>
          <t>EPIC-07</t>
        </is>
      </c>
      <c r="B212" s="2" t="inlineStr">
        <is>
          <t>TC-CEPA-070-003</t>
        </is>
      </c>
      <c r="C212" s="2" t="inlineStr">
        <is>
          <t>Functional</t>
        </is>
      </c>
      <c r="D212" s="2" t="inlineStr">
        <is>
          <t>Coherencia días vs fechas</t>
        </is>
      </c>
      <c r="E212" s="2" t="inlineStr">
        <is>
          <t>Validador de coherencia de reposo</t>
        </is>
      </c>
      <c r="F212" s="2" t="inlineStr">
        <is>
          <t>Verificar que cuando la cantidad de días no coincide con la diferencia entre fechas de reposo (v4 D8), el sistema advierte de la inconsistencia antes de permitir el guardado.</t>
        </is>
      </c>
      <c r="G212" s="2" t="inlineStr">
        <is>
          <t>Web</t>
        </is>
      </c>
      <c r="H212" s="2" t="inlineStr">
        <is>
          <t>Usuario Administrativo autenticado; formulario de nueva LM con campos de reposo v4 D8 visibles.</t>
        </is>
      </c>
      <c r="I212" s="2" t="inlineStr">
        <is>
          <t>1. Ingresar cantidad de días=10. 2. Ingresar inicio de reposo=01/06/2026 y fin de reposo=12/06/2026 (12 días calendario). 3. Hacer clic en 'Guardar'.</t>
        </is>
      </c>
      <c r="J212" s="2" t="inlineStr">
        <is>
          <t>El sistema muestra una advertencia bloqueante de inconsistencia (10 vs 12 días) antes de permitir el guardado; solo tras confirmación explícita del administrativo (caso prórroga/empalme) se permite guardar.</t>
        </is>
      </c>
      <c r="K212" s="2" t="inlineStr"/>
      <c r="L212" s="2" t="inlineStr"/>
      <c r="M212" s="2" t="inlineStr">
        <is>
          <t>P0</t>
        </is>
      </c>
      <c r="N212" s="4" t="inlineStr">
        <is>
          <t>Major</t>
        </is>
      </c>
      <c r="O212" s="2" t="inlineStr"/>
      <c r="P212" s="2" t="inlineStr"/>
      <c r="Q212" s="2" t="inlineStr">
        <is>
          <t>S4</t>
        </is>
      </c>
    </row>
    <row r="213">
      <c r="A213" s="2" t="inlineStr">
        <is>
          <t>EPIC-07</t>
        </is>
      </c>
      <c r="B213" s="2" t="inlineStr">
        <is>
          <t>TC-CEPA-070-004</t>
        </is>
      </c>
      <c r="C213" s="2" t="inlineStr">
        <is>
          <t>Functional</t>
        </is>
      </c>
      <c r="D213" s="2" t="inlineStr">
        <is>
          <t>Validación RUT</t>
        </is>
      </c>
      <c r="E213" s="2" t="inlineStr">
        <is>
          <t>Validador de RUT</t>
        </is>
      </c>
      <c r="F213" s="2" t="inlineStr">
        <is>
          <t>Verificar que el sistema bloquea el guardado de una LM cuando el RUT del paciente tiene dígito verificador inválido.</t>
        </is>
      </c>
      <c r="G213" s="2" t="inlineStr">
        <is>
          <t>Web</t>
        </is>
      </c>
      <c r="H213" s="2" t="inlineStr">
        <is>
          <t>Usuario Administrativo autenticado; formulario de nueva LM abierto.</t>
        </is>
      </c>
      <c r="I213" s="2" t="inlineStr">
        <is>
          <t>1. Completar los campos obligatorios de la LM. 2. Ingresar RUT=12.345.678-0 (DV incorrecto; el DV válido es 5). 3. Hacer clic en 'Guardar'.</t>
        </is>
      </c>
      <c r="J213" s="2" t="inlineStr">
        <is>
          <t>El sistema bloquea el guardado y muestra el mensaje 'RUT inválido'; la LM no se registra.</t>
        </is>
      </c>
      <c r="K213" s="2" t="inlineStr"/>
      <c r="L213" s="2" t="inlineStr"/>
      <c r="M213" s="2" t="inlineStr">
        <is>
          <t>P0</t>
        </is>
      </c>
      <c r="N213" s="4" t="inlineStr">
        <is>
          <t>Major</t>
        </is>
      </c>
      <c r="O213" s="2" t="inlineStr"/>
      <c r="P213" s="2" t="inlineStr"/>
      <c r="Q213" s="2" t="inlineStr">
        <is>
          <t>S4</t>
        </is>
      </c>
    </row>
    <row r="214">
      <c r="A214" s="2" t="inlineStr">
        <is>
          <t>EPIC-07</t>
        </is>
      </c>
      <c r="B214" s="2" t="inlineStr">
        <is>
          <t>TC-CEPA-070-005</t>
        </is>
      </c>
      <c r="C214" s="2" t="inlineStr">
        <is>
          <t>Business Rules</t>
        </is>
      </c>
      <c r="D214" s="2" t="inlineStr">
        <is>
          <t>Campos obligatorios v4 D8</t>
        </is>
      </c>
      <c r="E214" s="2" t="inlineStr">
        <is>
          <t>Formulario de registro de licencia médica</t>
        </is>
      </c>
      <c r="F214" s="2" t="inlineStr">
        <is>
          <t>Verificar que los campos adicionales v4 D8 (días de reposo, inicio del reposo, fecha de emisión, fin del reposo, indicación de reposo, diagnóstico) son obligatorios y su omisión impide el guardado.</t>
        </is>
      </c>
      <c r="G214" s="2" t="inlineStr">
        <is>
          <t>Web</t>
        </is>
      </c>
      <c r="H214" s="2" t="inlineStr">
        <is>
          <t>Usuario Administrativo autenticado; formulario de nueva LM con los campos base obligatorios ya completos.</t>
        </is>
      </c>
      <c r="I214" s="2" t="inlineStr">
        <is>
          <t>1. Dejar vacío el campo 'fecha de emisión' y hacer clic en 'Guardar'. 2. Completar fecha de emisión=30/05/2026 y dejar vacío 'indicación de reposo'; hacer clic en 'Guardar'. 3. Repetir dejando vacío cada uno de: días de reposo, inicio del reposo, fin del reposo, diagnóstico.</t>
        </is>
      </c>
      <c r="J214" s="2" t="inlineStr">
        <is>
          <t>En cada intento el sistema impide el guardado e indica el campo obligatorio faltante; solo con los 6 campos v4 D8 completos la LM se guarda.</t>
        </is>
      </c>
      <c r="K214" s="2" t="inlineStr"/>
      <c r="L214" s="2" t="inlineStr"/>
      <c r="M214" s="2" t="inlineStr">
        <is>
          <t>P0</t>
        </is>
      </c>
      <c r="N214" s="4" t="inlineStr">
        <is>
          <t>Major</t>
        </is>
      </c>
      <c r="O214" s="2" t="inlineStr"/>
      <c r="P214" s="2" t="inlineStr"/>
      <c r="Q214" s="2" t="inlineStr">
        <is>
          <t>BR-2</t>
        </is>
      </c>
    </row>
    <row r="215">
      <c r="A215" s="2" t="inlineStr">
        <is>
          <t>EPIC-07</t>
        </is>
      </c>
      <c r="B215" s="2" t="inlineStr">
        <is>
          <t>TC-CEPA-070-006</t>
        </is>
      </c>
      <c r="C215" s="2" t="inlineStr">
        <is>
          <t>Business Rules</t>
        </is>
      </c>
      <c r="D215" s="2" t="inlineStr">
        <is>
          <t>Catálogo cerrado</t>
        </is>
      </c>
      <c r="E215" s="2" t="inlineStr">
        <is>
          <t>Catálogos de tipo de LM y tipo de reposo</t>
        </is>
      </c>
      <c r="F215" s="2" t="inlineStr">
        <is>
          <t>Verificar que tipo_de_LM solo admite valores del catálogo {1, 5, 6} y tipo_de_reposo solo admite {total, parcial}, rechazando cualquier otro valor.</t>
        </is>
      </c>
      <c r="G215" s="2" t="inlineStr">
        <is>
          <t>Web/API</t>
        </is>
      </c>
      <c r="H215" s="2" t="inlineStr">
        <is>
          <t>Usuario Administrativo autenticado; formulario de nueva LM abierto; acceso API con token JWT de administrativo.</t>
        </is>
      </c>
      <c r="I215" s="2" t="inlineStr">
        <is>
          <t>1. En el formulario, verificar que el selector de tipo de LM solo ofrece los valores 1, 5 y 6. 2. Vía API POST /api/v1 de licencias, enviar una LM con tipo_de_LM=3. 3. Vía API, enviar una LM con tipo_de_reposo='medio'.</t>
        </is>
      </c>
      <c r="J215" s="2" t="inlineStr">
        <is>
          <t>El selector web solo ofrece {1, 5, 6} y {total, parcial}; las peticiones API con tipo LM=3 o reposo='medio' son rechazadas con error de valor no permitido (RN-3).</t>
        </is>
      </c>
      <c r="K215" s="2" t="inlineStr"/>
      <c r="L215" s="2" t="inlineStr"/>
      <c r="M215" s="2" t="inlineStr">
        <is>
          <t>P0</t>
        </is>
      </c>
      <c r="N215" s="4" t="inlineStr">
        <is>
          <t>Major</t>
        </is>
      </c>
      <c r="O215" s="2" t="inlineStr"/>
      <c r="P215" s="2" t="inlineStr"/>
      <c r="Q215" s="2" t="inlineStr">
        <is>
          <t>BR-3</t>
        </is>
      </c>
    </row>
    <row r="216">
      <c r="A216" s="2" t="inlineStr">
        <is>
          <t>EPIC-07</t>
        </is>
      </c>
      <c r="B216" s="2" t="inlineStr">
        <is>
          <t>TC-CEPA-070-007</t>
        </is>
      </c>
      <c r="C216" s="2" t="inlineStr">
        <is>
          <t>Business Rules</t>
        </is>
      </c>
      <c r="D216" s="2" t="inlineStr">
        <is>
          <t>Validación de fechas de reposo y emisión</t>
        </is>
      </c>
      <c r="E216" s="2" t="inlineStr">
        <is>
          <t>Validador de fechas de LM</t>
        </is>
      </c>
      <c r="F216" s="2" t="inlineStr">
        <is>
          <t>Verificar las restricciones de fechas complementarias de RN-4: fin_reposo ≥ inicio_reposo y fecha_emision ≤ fecha_inicio.</t>
        </is>
      </c>
      <c r="G216" s="2" t="inlineStr">
        <is>
          <t>Web</t>
        </is>
      </c>
      <c r="H216" s="2" t="inlineStr">
        <is>
          <t>Usuario Administrativo autenticado; formulario de nueva LM con campos base completos.</t>
        </is>
      </c>
      <c r="I216" s="2" t="inlineStr">
        <is>
          <t>1. Ingresar inicio de reposo=10/06/2026 y fin de reposo=05/06/2026; hacer clic en 'Guardar'. 2. Corregir fin de reposo=20/06/2026. 3. Ingresar fecha de emisión=15/06/2026 con fecha de inicio=10/06/2026; hacer clic en 'Guardar'.</t>
        </is>
      </c>
      <c r="J216" s="2" t="inlineStr">
        <is>
          <t>Paso 1: error de validación por fin_reposo &lt; inicio_reposo, no guarda. Paso 3: error de validación porque la fecha de emisión debe ser anterior o igual a la fecha de inicio del reposo; no guarda.</t>
        </is>
      </c>
      <c r="K216" s="2" t="inlineStr"/>
      <c r="L216" s="2" t="inlineStr"/>
      <c r="M216" s="2" t="inlineStr">
        <is>
          <t>P0</t>
        </is>
      </c>
      <c r="N216" s="4" t="inlineStr">
        <is>
          <t>Major</t>
        </is>
      </c>
      <c r="O216" s="2" t="inlineStr"/>
      <c r="P216" s="2" t="inlineStr"/>
      <c r="Q216" s="2" t="inlineStr">
        <is>
          <t>BR-4</t>
        </is>
      </c>
    </row>
    <row r="217">
      <c r="A217" s="2" t="inlineStr">
        <is>
          <t>EPIC-07</t>
        </is>
      </c>
      <c r="B217" s="2" t="inlineStr">
        <is>
          <t>TC-CEPA-070-008</t>
        </is>
      </c>
      <c r="C217" s="2" t="inlineStr">
        <is>
          <t>Business Rules</t>
        </is>
      </c>
      <c r="D217" s="2" t="inlineStr">
        <is>
          <t>Vinculación a folio</t>
        </is>
      </c>
      <c r="E217" s="2" t="inlineStr">
        <is>
          <t>Vinculador LM–folio de paciente</t>
        </is>
      </c>
      <c r="F217" s="2" t="inlineStr">
        <is>
          <t>Verificar que no es posible crear una LM sin folio de paciente existente asociado.</t>
        </is>
      </c>
      <c r="G217" s="2" t="inlineStr">
        <is>
          <t>Web/API</t>
        </is>
      </c>
      <c r="H217" s="2" t="inlineStr">
        <is>
          <t>Usuario Administrativo autenticado; existe al menos un paciente con folio; se conoce un folio inexistente (2026-9999).</t>
        </is>
      </c>
      <c r="I217" s="2" t="inlineStr">
        <is>
          <t>1. Abrir el formulario de nueva LM sin seleccionar paciente e intentar guardar. 2. Vía API POST /api/v1 de licencias, enviar una LM referenciando el folio inexistente 2026-9999.</t>
        </is>
      </c>
      <c r="J217" s="2" t="inlineStr">
        <is>
          <t>Ambos intentos son rechazados: la LM no puede crearse sin un folio de paciente existente; el API responde con error indicando folio no encontrado.</t>
        </is>
      </c>
      <c r="K217" s="2" t="inlineStr"/>
      <c r="L217" s="2" t="inlineStr"/>
      <c r="M217" s="2" t="inlineStr">
        <is>
          <t>P0</t>
        </is>
      </c>
      <c r="N217" s="3" t="inlineStr">
        <is>
          <t>Critical</t>
        </is>
      </c>
      <c r="O217" s="2" t="inlineStr"/>
      <c r="P217" s="2" t="inlineStr"/>
      <c r="Q217" s="2" t="inlineStr">
        <is>
          <t>BR-6</t>
        </is>
      </c>
    </row>
    <row r="218">
      <c r="A218" s="2" t="inlineStr">
        <is>
          <t>EPIC-07</t>
        </is>
      </c>
      <c r="B218" s="2" t="inlineStr">
        <is>
          <t>TC-CEPA-070-009</t>
        </is>
      </c>
      <c r="C218" s="2" t="inlineStr">
        <is>
          <t>Business Rules</t>
        </is>
      </c>
      <c r="D218" s="2" t="inlineStr">
        <is>
          <t>Log de auditoría</t>
        </is>
      </c>
      <c r="E218" s="2" t="inlineStr">
        <is>
          <t>Log de auditoría de operaciones CRUD</t>
        </is>
      </c>
      <c r="F218" s="2" t="inlineStr">
        <is>
          <t>Verificar que toda operación CRUD sobre licencias médicas se registra en el log de auditoría con usuario, acción y fecha/hora (PRD §7.13).</t>
        </is>
      </c>
      <c r="G218" s="2" t="inlineStr">
        <is>
          <t>Web/API</t>
        </is>
      </c>
      <c r="H218" s="2" t="inlineStr">
        <is>
          <t>Usuario Administrativo autenticado (usuario admin01); usuario con acceso de consulta al log de auditoría; paciente con folio existente.</t>
        </is>
      </c>
      <c r="I218" s="2" t="inlineStr">
        <is>
          <t>1. Crear una LM para el paciente y guardar. 2. Editar la cantidad de días de esa LM (de 15 a 12) y guardar. 3. Anular la LM. 4. Consultar el log de auditoría filtrando por la LM creada.</t>
        </is>
      </c>
      <c r="J218" s="2" t="inlineStr">
        <is>
          <t>El log de auditoría contiene tres entradas (creación, edición, anulación) indicando quién (admin01), qué operación y cuándo (timestamp) para cada acción.</t>
        </is>
      </c>
      <c r="K218" s="2" t="inlineStr"/>
      <c r="L218" s="2" t="inlineStr"/>
      <c r="M218" s="2" t="inlineStr">
        <is>
          <t>P0</t>
        </is>
      </c>
      <c r="N218" s="4" t="inlineStr">
        <is>
          <t>Major</t>
        </is>
      </c>
      <c r="O218" s="2" t="inlineStr"/>
      <c r="P218" s="2" t="inlineStr"/>
      <c r="Q218" s="2" t="inlineStr">
        <is>
          <t>BR-7</t>
        </is>
      </c>
    </row>
    <row r="219">
      <c r="A219" s="2" t="inlineStr">
        <is>
          <t>EPIC-07</t>
        </is>
      </c>
      <c r="B219" s="2" t="inlineStr">
        <is>
          <t>TC-CEPA-070-010</t>
        </is>
      </c>
      <c r="C219" s="2" t="inlineStr">
        <is>
          <t>Security</t>
        </is>
      </c>
      <c r="D219" s="2" t="inlineStr">
        <is>
          <t>RBAC</t>
        </is>
      </c>
      <c r="E219" s="2" t="inlineStr">
        <is>
          <t>Control de acceso por rol (RBAC)</t>
        </is>
      </c>
      <c r="F219" s="2" t="inlineStr">
        <is>
          <t>Verificar que un usuario con perfil Auditor no puede crear licencias médicas: acceso de solo lectura al módulo.</t>
        </is>
      </c>
      <c r="G219" s="2" t="inlineStr">
        <is>
          <t>Web/API</t>
        </is>
      </c>
      <c r="H219" s="2" t="inlineStr">
        <is>
          <t>Usuario con perfil Auditor autenticado; existe al menos un paciente con folio.</t>
        </is>
      </c>
      <c r="I219" s="2" t="inlineStr">
        <is>
          <t>1. Iniciar sesión con perfil Auditor. 2. Navegar al módulo Licencias Médicas. 3. Intentar abrir el formulario de nueva LM. 4. Vía API POST /api/v1 de licencias, intentar crear una LM con el token del Auditor.</t>
        </is>
      </c>
      <c r="J219" s="2" t="inlineStr">
        <is>
          <t>El módulo se muestra en modo solo lectura: la opción 'Nueva LM' está deshabilitada u oculta; la petición API es rechazada con 403 (creación denegada por RBAC).</t>
        </is>
      </c>
      <c r="K219" s="2" t="inlineStr"/>
      <c r="L219" s="2" t="inlineStr"/>
      <c r="M219" s="2" t="inlineStr">
        <is>
          <t>P0</t>
        </is>
      </c>
      <c r="N219" s="3" t="inlineStr">
        <is>
          <t>Critical</t>
        </is>
      </c>
      <c r="O219" s="2" t="inlineStr"/>
      <c r="P219" s="2" t="inlineStr"/>
      <c r="Q219" s="2" t="inlineStr">
        <is>
          <t>TC-legacy</t>
        </is>
      </c>
    </row>
    <row r="220">
      <c r="A220" s="2" t="inlineStr">
        <is>
          <t>EPIC-07</t>
        </is>
      </c>
      <c r="B220" s="2" t="inlineStr">
        <is>
          <t>TC-CEPA-070-011</t>
        </is>
      </c>
      <c r="C220" s="2" t="inlineStr">
        <is>
          <t>Data Integrity</t>
        </is>
      </c>
      <c r="D220" s="2" t="inlineStr">
        <is>
          <t>Cobertura de columnas de planilla</t>
        </is>
      </c>
      <c r="E220" s="2" t="inlineStr">
        <is>
          <t>Modelo de datos de licencias médicas</t>
        </is>
      </c>
      <c r="F220" s="2" t="inlineStr">
        <is>
          <t>Verificar que el módulo de LM captura todas las columnas de la hoja 'Licencias Médicas' de la planilla original (15 columnas), sin pérdida de campos en la digitalización.</t>
        </is>
      </c>
      <c r="G220" s="2" t="inlineStr">
        <is>
          <t>Web</t>
        </is>
      </c>
      <c r="H220" s="2" t="inlineStr">
        <is>
          <t>Usuario Administrativo autenticado; formulario de nueva LM y vista de detalle de LM disponibles; hoja original 'Licencias Médicas' (A1:O1584) como referencia.</t>
        </is>
      </c>
      <c r="I220" s="2" t="inlineStr">
        <is>
          <t>1. Abrir el formulario de nueva LM. 2. Verificar que existe un campo (o dato derivado) para cada columna de la hoja: Región, Paciente, Rut, Folio, Días, Inicio, Termino, Tipo Reposo, Tipo LM, Envio a ISL, EEAG, Tipo LM2 (recalificación 77 BIS), Fecha Emisión LM, Observaciones. 3. Registrar una LM completando todos esos campos. 4. Abrir el detalle de la LM y comparar los valores guardados contra los ingresados.</t>
        </is>
      </c>
      <c r="J220" s="2" t="inlineStr">
        <is>
          <t>Cada una de las columnas de la hoja tiene un campo equivalente en el módulo; los 14 datos de negocio se guardan y se muestran sin pérdida ni truncamiento (la columna auxiliar 'Columna1' se documenta como descartada/migrada).</t>
        </is>
      </c>
      <c r="K220" s="2" t="inlineStr"/>
      <c r="L220" s="2" t="inlineStr"/>
      <c r="M220" s="2" t="inlineStr">
        <is>
          <t>P0</t>
        </is>
      </c>
      <c r="N220" s="3" t="inlineStr">
        <is>
          <t>Critical</t>
        </is>
      </c>
      <c r="O220" s="2" t="inlineStr"/>
      <c r="P220" s="2" t="inlineStr"/>
      <c r="Q220" s="2" t="inlineStr">
        <is>
          <t>PLANILLA</t>
        </is>
      </c>
    </row>
    <row r="221">
      <c r="A221" s="2" t="inlineStr">
        <is>
          <t>EPIC-07</t>
        </is>
      </c>
      <c r="B221" s="2" t="inlineStr">
        <is>
          <t>TC-CEPA-070-012</t>
        </is>
      </c>
      <c r="C221" s="2" t="inlineStr">
        <is>
          <t>Data Integrity</t>
        </is>
      </c>
      <c r="D221" s="2" t="inlineStr">
        <is>
          <t>Catálogos cerrados</t>
        </is>
      </c>
      <c r="E221" s="2" t="inlineStr">
        <is>
          <t>Catálogos del módulo de licencias</t>
        </is>
      </c>
      <c r="F221" s="2" t="inlineStr">
        <is>
          <t>Verificar que los valores tipo lista de la hoja 'Licencias Médicas' se manejan como catálogos cerrados: Tipo LM {1,5,6}, Tipo Reposo {total, parcial}, Envio a ISL {pendiente, enviado, rechazado, no aplica/externo} y EEAG numérico 1–100.</t>
        </is>
      </c>
      <c r="G221" s="2" t="inlineStr">
        <is>
          <t>Web/API</t>
        </is>
      </c>
      <c r="H221" s="2" t="inlineStr">
        <is>
          <t>Usuario Administrativo autenticado; formulario de LM y endpoint API de licencias disponibles.</t>
        </is>
      </c>
      <c r="I221" s="2" t="inlineStr">
        <is>
          <t>1. Verificar en el formulario que Tipo LM, Tipo Reposo y Envio a ISL son selectores con lista cerrada (sin texto libre). 2. Vía API, enviar Tipo LM='7', Tipo Reposo='completo' y Envio a ISL='en tránsito'. 3. Vía API, enviar EEAG=0 y EEAG=101.</t>
        </is>
      </c>
      <c r="J221" s="2" t="inlineStr">
        <is>
          <t>Los selectores web no permiten valores fuera de catálogo; todas las peticiones API con valores fuera de catálogo o EEAG fuera de 1–100 son rechazadas con error de validación.</t>
        </is>
      </c>
      <c r="K221" s="2" t="inlineStr"/>
      <c r="L221" s="2" t="inlineStr"/>
      <c r="M221" s="2" t="inlineStr">
        <is>
          <t>P0</t>
        </is>
      </c>
      <c r="N221" s="4" t="inlineStr">
        <is>
          <t>Major</t>
        </is>
      </c>
      <c r="O221" s="2" t="inlineStr"/>
      <c r="P221" s="2" t="inlineStr"/>
      <c r="Q221" s="2" t="inlineStr">
        <is>
          <t>PLANILLA</t>
        </is>
      </c>
    </row>
    <row r="222">
      <c r="A222" s="2" t="inlineStr">
        <is>
          <t>EPIC-07</t>
        </is>
      </c>
      <c r="B222" s="2" t="inlineStr">
        <is>
          <t>TC-CEPA-070-013</t>
        </is>
      </c>
      <c r="C222" s="2" t="inlineStr">
        <is>
          <t>Data Integrity</t>
        </is>
      </c>
      <c r="D222" s="2" t="inlineStr">
        <is>
          <t>Volumen histórico y paginación</t>
        </is>
      </c>
      <c r="E222" s="2" t="inlineStr">
        <is>
          <t>Listado paginado de licencias médicas</t>
        </is>
      </c>
      <c r="F222" s="2" t="inlineStr">
        <is>
          <t>Verificar que el módulo maneja el volumen histórico de la hoja (1.584+ registros) con paginación y tiempos de respuesta &lt;2 s (RNF PRD §9).</t>
        </is>
      </c>
      <c r="G222" s="2" t="inlineStr">
        <is>
          <t>Web/API</t>
        </is>
      </c>
      <c r="H222" s="2" t="inlineStr">
        <is>
          <t>Base de datos poblada con al menos 1.584 registros de LM migrados/simulados de la hoja 'Licencias Médicas'.</t>
        </is>
      </c>
      <c r="I222" s="2" t="inlineStr">
        <is>
          <t>1. Abrir el listado general de licencias médicas y medir el tiempo de carga de la primera página. 2. Navegar a la última página del listado. 3. Buscar una LM por RUT y por folio dentro del universo de 1.584 registros. 4. Verificar el conteo total de registros mostrado.</t>
        </is>
      </c>
      <c r="J222" s="2" t="inlineStr">
        <is>
          <t>El listado se presenta paginado; cada carga de página y búsqueda responde en menos de 2 segundos; el conteo total coincide con los registros migrados (sin pérdida de filas).</t>
        </is>
      </c>
      <c r="K222" s="2" t="inlineStr"/>
      <c r="L222" s="2" t="inlineStr"/>
      <c r="M222" s="2" t="inlineStr">
        <is>
          <t>P0</t>
        </is>
      </c>
      <c r="N222" s="4" t="inlineStr">
        <is>
          <t>Major</t>
        </is>
      </c>
      <c r="O222" s="2" t="inlineStr"/>
      <c r="P222" s="2" t="inlineStr"/>
      <c r="Q222" s="2" t="inlineStr">
        <is>
          <t>PLANILLA</t>
        </is>
      </c>
    </row>
    <row r="223">
      <c r="A223" s="2" t="inlineStr">
        <is>
          <t>EPIC-07</t>
        </is>
      </c>
      <c r="B223" s="2" t="inlineStr">
        <is>
          <t>TC-CEPA-071-001</t>
        </is>
      </c>
      <c r="C223" s="2" t="inlineStr">
        <is>
          <t>Functional</t>
        </is>
      </c>
      <c r="D223" s="2" t="inlineStr">
        <is>
          <t>Cálculo automático</t>
        </is>
      </c>
      <c r="E223" s="2" t="inlineStr">
        <is>
          <t>Motor de cálculo de días acumulados</t>
        </is>
      </c>
      <c r="F223" s="2" t="inlineStr">
        <is>
          <t>Verificar que al registrar una nueva LM para un paciente con 3 licencias previas, el sistema calcula automáticamente el acumulado sumando las 4 licencias y lo muestra en la vista del paciente (CA textual PRD §7.7.4).</t>
        </is>
      </c>
      <c r="G223" s="2" t="inlineStr">
        <is>
          <t>Web</t>
        </is>
      </c>
      <c r="H223" s="2" t="inlineStr">
        <is>
          <t>Usuario Administrativo autenticado; paciente con 3 LM previas de 10, 15 y 7 días (acumulado actual = 32).</t>
        </is>
      </c>
      <c r="I223" s="2" t="inlineStr">
        <is>
          <t>1. Abrir el formulario de nueva LM para el paciente. 2. Registrar una 4ª LM de 8 días (inicio=01/07/2026, término=08/07/2026, sin solapamiento con las previas). 3. Hacer clic en 'Guardar'. 4. Abrir la vista del paciente y localizar el total de días acumulados.</t>
        </is>
      </c>
      <c r="J223" s="2" t="inlineStr">
        <is>
          <t>El sistema calcula automáticamente el acumulado = 40 días (10+15+7+8) sin acción manual y lo muestra en la vista del paciente.</t>
        </is>
      </c>
      <c r="K223" s="2" t="inlineStr"/>
      <c r="L223" s="2" t="inlineStr"/>
      <c r="M223" s="2" t="inlineStr">
        <is>
          <t>P0</t>
        </is>
      </c>
      <c r="N223" s="3" t="inlineStr">
        <is>
          <t>Critical</t>
        </is>
      </c>
      <c r="O223" s="2" t="inlineStr"/>
      <c r="P223" s="2" t="inlineStr"/>
      <c r="Q223" s="2" t="inlineStr">
        <is>
          <t>S1</t>
        </is>
      </c>
    </row>
    <row r="224">
      <c r="A224" s="2" t="inlineStr">
        <is>
          <t>EPIC-07</t>
        </is>
      </c>
      <c r="B224" s="2" t="inlineStr">
        <is>
          <t>TC-CEPA-071-002</t>
        </is>
      </c>
      <c r="C224" s="2" t="inlineStr">
        <is>
          <t>Functional</t>
        </is>
      </c>
      <c r="D224" s="2" t="inlineStr">
        <is>
          <t>Licencias extra-sistema</t>
        </is>
      </c>
      <c r="E224" s="2" t="inlineStr">
        <is>
          <t>Motor de cálculo de días acumulados</t>
        </is>
      </c>
      <c r="F224" s="2" t="inlineStr">
        <is>
          <t>Verificar que las licencias extra-sistema registradas para el paciente (v4 D7) se suman al acumulado y quedan marcadas con su origen.</t>
        </is>
      </c>
      <c r="G224" s="2" t="inlineStr">
        <is>
          <t>Web</t>
        </is>
      </c>
      <c r="H224" s="2" t="inlineStr">
        <is>
          <t>Usuario Administrativo autenticado; paciente con 1 LM extra-sistema de 20 días y 1 LM en sistema de 10 días, sin solapamiento.</t>
        </is>
      </c>
      <c r="I224" s="2" t="inlineStr">
        <is>
          <t>1. Abrir la vista consolidada del paciente. 2. Localizar el total de días acumulados. 3. Revisar el desglose de licencias que componen el acumulado.</t>
        </is>
      </c>
      <c r="J224" s="2" t="inlineStr">
        <is>
          <t>El acumulado mostrado es 30 días (20+10); la LM extra-sistema aparece incluida en el cálculo y marcada visualmente como de origen extra-sistema.</t>
        </is>
      </c>
      <c r="K224" s="2" t="inlineStr"/>
      <c r="L224" s="2" t="inlineStr"/>
      <c r="M224" s="2" t="inlineStr">
        <is>
          <t>P0</t>
        </is>
      </c>
      <c r="N224" s="3" t="inlineStr">
        <is>
          <t>Critical</t>
        </is>
      </c>
      <c r="O224" s="2" t="inlineStr"/>
      <c r="P224" s="2" t="inlineStr"/>
      <c r="Q224" s="2" t="inlineStr">
        <is>
          <t>S1</t>
        </is>
      </c>
    </row>
    <row r="225">
      <c r="A225" s="2" t="inlineStr">
        <is>
          <t>EPIC-07</t>
        </is>
      </c>
      <c r="B225" s="2" t="inlineStr">
        <is>
          <t>TC-CEPA-071-003</t>
        </is>
      </c>
      <c r="C225" s="2" t="inlineStr">
        <is>
          <t>Functional</t>
        </is>
      </c>
      <c r="D225" s="2" t="inlineStr">
        <is>
          <t>Solapamiento de licencias</t>
        </is>
      </c>
      <c r="E225" s="2" t="inlineStr">
        <is>
          <t>Motor de cálculo de días acumulados</t>
        </is>
      </c>
      <c r="F225" s="2" t="inlineStr">
        <is>
          <t>Verificar que cuando dos licencias del mismo paciente se solapan en fechas, el acumulado de días calendario efectivos no doble-cuenta los días comunes y el solapamiento queda señalado.</t>
        </is>
      </c>
      <c r="G225" s="2" t="inlineStr">
        <is>
          <t>Web</t>
        </is>
      </c>
      <c r="H225" s="2" t="inlineStr">
        <is>
          <t>Usuario Administrativo autenticado; paciente con LM A registrada del 01/06/2026 al 10/06/2026 (10 días).</t>
        </is>
      </c>
      <c r="I225" s="2" t="inlineStr">
        <is>
          <t>1. Registrar LM B para el mismo paciente del 06/06/2026 al 15/06/2026 (10 días); guardar. 2. Abrir la vista del paciente y revisar los días acumulados. 3. Revisar el indicador de solapamiento y el total bruto auxiliar.</t>
        </is>
      </c>
      <c r="J225" s="2" t="inlineStr">
        <is>
          <t>Días calendario efectivos = 15 (no 20, los 5 días comunes 06–10/06 se cuentan una vez); el total bruto = 20 se conserva como dato auxiliar; el solapamiento queda señalado visualmente para revisión administrativa.</t>
        </is>
      </c>
      <c r="K225" s="2" t="inlineStr"/>
      <c r="L225" s="2" t="inlineStr"/>
      <c r="M225" s="2" t="inlineStr">
        <is>
          <t>P0</t>
        </is>
      </c>
      <c r="N225" s="3" t="inlineStr">
        <is>
          <t>Critical</t>
        </is>
      </c>
      <c r="O225" s="2" t="inlineStr"/>
      <c r="P225" s="2" t="inlineStr"/>
      <c r="Q225" s="2" t="inlineStr">
        <is>
          <t>S2</t>
        </is>
      </c>
    </row>
    <row r="226">
      <c r="A226" s="2" t="inlineStr">
        <is>
          <t>EPIC-07</t>
        </is>
      </c>
      <c r="B226" s="2" t="inlineStr">
        <is>
          <t>TC-CEPA-071-004</t>
        </is>
      </c>
      <c r="C226" s="2" t="inlineStr">
        <is>
          <t>Business Rules</t>
        </is>
      </c>
      <c r="D226" s="2" t="inlineStr">
        <is>
          <t>Recálculo automático</t>
        </is>
      </c>
      <c r="E226" s="2" t="inlineStr">
        <is>
          <t>Motor de cálculo de días acumulados</t>
        </is>
      </c>
      <c r="F226" s="2" t="inlineStr">
        <is>
          <t>Verificar que el recálculo del acumulado se dispara automáticamente al editar o anular una LM del paciente, sin requerir acción manual.</t>
        </is>
      </c>
      <c r="G226" s="2" t="inlineStr">
        <is>
          <t>Web</t>
        </is>
      </c>
      <c r="H226" s="2" t="inlineStr">
        <is>
          <t>Usuario Administrativo autenticado; paciente con 2 LM de 10 y 15 días (acumulado = 25).</t>
        </is>
      </c>
      <c r="I226" s="2" t="inlineStr">
        <is>
          <t>1. Editar la LM de 15 días cambiando su cantidad a 12 días; guardar. 2. Verificar el acumulado en la vista del paciente. 3. Anular la LM de 10 días. 4. Verificar nuevamente el acumulado.</t>
        </is>
      </c>
      <c r="J226" s="2" t="inlineStr">
        <is>
          <t>Tras la edición el acumulado pasa automáticamente a 22 días; tras la anulación pasa automáticamente a 12 días; en ningún caso se requiere un botón o acción manual de recálculo.</t>
        </is>
      </c>
      <c r="K226" s="2" t="inlineStr"/>
      <c r="L226" s="2" t="inlineStr"/>
      <c r="M226" s="2" t="inlineStr">
        <is>
          <t>P0</t>
        </is>
      </c>
      <c r="N226" s="3" t="inlineStr">
        <is>
          <t>Critical</t>
        </is>
      </c>
      <c r="O226" s="2" t="inlineStr"/>
      <c r="P226" s="2" t="inlineStr"/>
      <c r="Q226" s="2" t="inlineStr">
        <is>
          <t>BR-2</t>
        </is>
      </c>
    </row>
    <row r="227">
      <c r="A227" s="2" t="inlineStr">
        <is>
          <t>EPIC-07</t>
        </is>
      </c>
      <c r="B227" s="2" t="inlineStr">
        <is>
          <t>TC-CEPA-071-005</t>
        </is>
      </c>
      <c r="C227" s="2" t="inlineStr">
        <is>
          <t>Business Rules</t>
        </is>
      </c>
      <c r="D227" s="2" t="inlineStr">
        <is>
          <t>Exclusión por anulación/77 BIS</t>
        </is>
      </c>
      <c r="E227" s="2" t="inlineStr">
        <is>
          <t>Motor de cálculo de días acumulados</t>
        </is>
      </c>
      <c r="F227" s="2" t="inlineStr">
        <is>
          <t>Verificar que una LM anulada/rechazada (ej. 77 BIS) se excluye del acumulado vigente pero se mantiene en el historial para trazabilidad.</t>
        </is>
      </c>
      <c r="G227" s="2" t="inlineStr">
        <is>
          <t>Web</t>
        </is>
      </c>
      <c r="H227" s="2" t="inlineStr">
        <is>
          <t>Usuario Administrativo autenticado; paciente con 2 LM: una de 15 días y otra de 10 días (acumulado = 25).</t>
        </is>
      </c>
      <c r="I227" s="2" t="inlineStr">
        <is>
          <t>1. Marcar la LM de 15 días como rechazada por 77 BIS (anulada/recalificada). 2. Guardar el cambio. 3. Verificar el acumulado vigente en la vista del paciente. 4. Abrir el historial de licencias del paciente.</t>
        </is>
      </c>
      <c r="J227" s="2" t="inlineStr">
        <is>
          <t>El acumulado vigente pasa a 10 días (excluye los 15 anulados); la LM rechazada permanece visible en el historial con su estado de anulación para trazabilidad.</t>
        </is>
      </c>
      <c r="K227" s="2" t="inlineStr"/>
      <c r="L227" s="2" t="inlineStr"/>
      <c r="M227" s="2" t="inlineStr">
        <is>
          <t>P0</t>
        </is>
      </c>
      <c r="N227" s="4" t="inlineStr">
        <is>
          <t>Major</t>
        </is>
      </c>
      <c r="O227" s="2" t="inlineStr"/>
      <c r="P227" s="2" t="inlineStr"/>
      <c r="Q227" s="2" t="inlineStr">
        <is>
          <t>BR-4</t>
        </is>
      </c>
    </row>
    <row r="228">
      <c r="A228" s="2" t="inlineStr">
        <is>
          <t>EPIC-07</t>
        </is>
      </c>
      <c r="B228" s="2" t="inlineStr">
        <is>
          <t>TC-CEPA-071-006</t>
        </is>
      </c>
      <c r="C228" s="2" t="inlineStr">
        <is>
          <t>Business Rules</t>
        </is>
      </c>
      <c r="D228" s="2" t="inlineStr">
        <is>
          <t>Vista consolidada y reportería</t>
        </is>
      </c>
      <c r="E228" s="2" t="inlineStr">
        <is>
          <t>Vista consolidada del paciente / Reporte de LM acumuladas</t>
        </is>
      </c>
      <c r="F228" s="2" t="inlineStr">
        <is>
          <t>Verificar que el acumulado de días se muestra en la vista consolidada del paciente y alimenta el 'Reporte de licencias médicas acumuladas' (PRD §7.9).</t>
        </is>
      </c>
      <c r="G228" s="2" t="inlineStr">
        <is>
          <t>Web</t>
        </is>
      </c>
      <c r="H228" s="2" t="inlineStr">
        <is>
          <t>Usuario Administrativo autenticado; paciente con acumulado conocido de 40 días.</t>
        </is>
      </c>
      <c r="I228" s="2" t="inlineStr">
        <is>
          <t>1. Abrir la vista consolidada del paciente y localizar el acumulado. 2. Navegar al módulo de reportes y generar el 'Reporte de licencias médicas acumuladas'. 3. Localizar al paciente en el reporte y comparar el valor.</t>
        </is>
      </c>
      <c r="J228" s="2" t="inlineStr">
        <is>
          <t>El acumulado (40 días) se muestra en la vista consolidada del paciente y coincide exactamente con el valor del paciente en el reporte de licencias médicas acumuladas.</t>
        </is>
      </c>
      <c r="K228" s="2" t="inlineStr"/>
      <c r="L228" s="2" t="inlineStr"/>
      <c r="M228" s="2" t="inlineStr">
        <is>
          <t>P0</t>
        </is>
      </c>
      <c r="N228" s="4" t="inlineStr">
        <is>
          <t>Major</t>
        </is>
      </c>
      <c r="O228" s="2" t="inlineStr"/>
      <c r="P228" s="2" t="inlineStr"/>
      <c r="Q228" s="2" t="inlineStr">
        <is>
          <t>BR-5</t>
        </is>
      </c>
    </row>
    <row r="229">
      <c r="A229" s="2" t="inlineStr">
        <is>
          <t>EPIC-07</t>
        </is>
      </c>
      <c r="B229" s="2" t="inlineStr">
        <is>
          <t>TC-CEPA-071-007</t>
        </is>
      </c>
      <c r="C229" s="2" t="inlineStr">
        <is>
          <t>Business Rules</t>
        </is>
      </c>
      <c r="D229" s="2" t="inlineStr">
        <is>
          <t>Borde: primera LM</t>
        </is>
      </c>
      <c r="E229" s="2" t="inlineStr">
        <is>
          <t>Motor de cálculo de días acumulados</t>
        </is>
      </c>
      <c r="F229" s="2" t="inlineStr">
        <is>
          <t>Verificar el borde de cálculo: para un paciente sin LM previas, el acumulado tras registrar su primera LM es igual a los días de esa LM.</t>
        </is>
      </c>
      <c r="G229" s="2" t="inlineStr">
        <is>
          <t>Web</t>
        </is>
      </c>
      <c r="H229" s="2" t="inlineStr">
        <is>
          <t>Usuario Administrativo autenticado; paciente con folio existente y sin ninguna LM registrada.</t>
        </is>
      </c>
      <c r="I229" s="2" t="inlineStr">
        <is>
          <t>1. Registrar la primera LM del paciente con 12 días (inicio=01/06/2026, término=12/06/2026). 2. Guardar. 3. Abrir la vista del paciente y verificar el acumulado.</t>
        </is>
      </c>
      <c r="J229" s="2" t="inlineStr">
        <is>
          <t>El acumulado mostrado es exactamente 12 días (los de la primera LM), sin errores por ausencia de licencias previas.</t>
        </is>
      </c>
      <c r="K229" s="2" t="inlineStr"/>
      <c r="L229" s="2" t="inlineStr"/>
      <c r="M229" s="2" t="inlineStr">
        <is>
          <t>P0</t>
        </is>
      </c>
      <c r="N229" s="5" t="inlineStr">
        <is>
          <t>Medium</t>
        </is>
      </c>
      <c r="O229" s="2" t="inlineStr"/>
      <c r="P229" s="2" t="inlineStr"/>
      <c r="Q229" s="2" t="inlineStr">
        <is>
          <t>BR-6</t>
        </is>
      </c>
    </row>
    <row r="230">
      <c r="A230" s="2" t="inlineStr">
        <is>
          <t>EPIC-07</t>
        </is>
      </c>
      <c r="B230" s="2" t="inlineStr">
        <is>
          <t>TC-CEPA-071-008</t>
        </is>
      </c>
      <c r="C230" s="2" t="inlineStr">
        <is>
          <t>Security</t>
        </is>
      </c>
      <c r="D230" s="2" t="inlineStr">
        <is>
          <t>RBAC</t>
        </is>
      </c>
      <c r="E230" s="2" t="inlineStr">
        <is>
          <t>Control de acceso por rol (RBAC)</t>
        </is>
      </c>
      <c r="F230" s="2" t="inlineStr">
        <is>
          <t>Verificar que el perfil Auditor puede visualizar el acumulado de días del paciente pero no puede editar las LM que lo alteran.</t>
        </is>
      </c>
      <c r="G230" s="2" t="inlineStr">
        <is>
          <t>Web/API</t>
        </is>
      </c>
      <c r="H230" s="2" t="inlineStr">
        <is>
          <t>Usuario con perfil Auditor autenticado; paciente con LM registradas y acumulado calculado.</t>
        </is>
      </c>
      <c r="I230" s="2" t="inlineStr">
        <is>
          <t>1. Iniciar sesión con perfil Auditor. 2. Abrir la vista del paciente y consultar el acumulado de días. 3. Intentar editar una de las LM del paciente desde la interfaz. 4. Vía API PUT /api/v1 de licencias, intentar modificar la cantidad de días con el token del Auditor.</t>
        </is>
      </c>
      <c r="J230" s="2" t="inlineStr">
        <is>
          <t>La lectura del acumulado está permitida; las opciones de edición están deshabilitadas u ocultas y la petición API de modificación es rechazada con 403.</t>
        </is>
      </c>
      <c r="K230" s="2" t="inlineStr"/>
      <c r="L230" s="2" t="inlineStr"/>
      <c r="M230" s="2" t="inlineStr">
        <is>
          <t>P0</t>
        </is>
      </c>
      <c r="N230" s="4" t="inlineStr">
        <is>
          <t>Major</t>
        </is>
      </c>
      <c r="O230" s="2" t="inlineStr"/>
      <c r="P230" s="2" t="inlineStr"/>
      <c r="Q230" s="2" t="inlineStr">
        <is>
          <t>TC-legacy</t>
        </is>
      </c>
    </row>
    <row r="231">
      <c r="A231" s="2" t="inlineStr">
        <is>
          <t>EPIC-07</t>
        </is>
      </c>
      <c r="B231" s="2" t="inlineStr">
        <is>
          <t>TC-CEPA-072-001</t>
        </is>
      </c>
      <c r="C231" s="2" t="inlineStr">
        <is>
          <t>Functional</t>
        </is>
      </c>
      <c r="D231" s="2" t="inlineStr">
        <is>
          <t>Generación de alerta</t>
        </is>
      </c>
      <c r="E231" s="2" t="inlineStr">
        <is>
          <t>Motor de alertas de vencimiento de LM</t>
        </is>
      </c>
      <c r="F231" s="2" t="inlineStr">
        <is>
          <t>Verificar que cuando una LM vence en los próximos 3 días hábiles, la revisión programada genera una alerta visible para el administrativo asignado (CA textual PRD §7.7.4 adaptado por v4 D1).</t>
        </is>
      </c>
      <c r="G231" s="2" t="inlineStr">
        <is>
          <t>Web/API</t>
        </is>
      </c>
      <c r="H231" s="2" t="inlineStr">
        <is>
          <t>LM vigente con fecha de término = lunes siguiente; fecha actual simulada = miércoles (3 días hábiles antes); paciente con administrativo asignado (admin01).</t>
        </is>
      </c>
      <c r="I231" s="2" t="inlineStr">
        <is>
          <t>1. Configurar la fecha del sistema/entorno de prueba en miércoles 03/06/2026 con LM de término lunes 08/06/2026. 2. Ejecutar el job diario de revisión de alertas. 3. Consultar las alertas generadas para admin01.</t>
        </is>
      </c>
      <c r="J231" s="2" t="inlineStr">
        <is>
          <t>Se genera una alerta de 'LM por vencer' dirigida al administrativo asignado (admin01); ningún destinatario clínico recibe la alerta (v4 D1).</t>
        </is>
      </c>
      <c r="K231" s="2" t="inlineStr"/>
      <c r="L231" s="2" t="inlineStr"/>
      <c r="M231" s="2" t="inlineStr">
        <is>
          <t>P0</t>
        </is>
      </c>
      <c r="N231" s="3" t="inlineStr">
        <is>
          <t>Critical</t>
        </is>
      </c>
      <c r="O231" s="2" t="inlineStr"/>
      <c r="P231" s="2" t="inlineStr"/>
      <c r="Q231" s="2" t="inlineStr">
        <is>
          <t>S1</t>
        </is>
      </c>
    </row>
    <row r="232">
      <c r="A232" s="2" t="inlineStr">
        <is>
          <t>EPIC-07</t>
        </is>
      </c>
      <c r="B232" s="2" t="inlineStr">
        <is>
          <t>TC-CEPA-072-002</t>
        </is>
      </c>
      <c r="C232" s="2" t="inlineStr">
        <is>
          <t>Functional</t>
        </is>
      </c>
      <c r="D232" s="2" t="inlineStr">
        <is>
          <t>Panel de notificaciones</t>
        </is>
      </c>
      <c r="E232" s="2" t="inlineStr">
        <is>
          <t>Panel de notificaciones in-app</t>
        </is>
      </c>
      <c r="F232" s="2" t="inlineStr">
        <is>
          <t>Verificar que el administrativo asignado ve la alerta de vencimiento en su panel de notificaciones in-app al iniciar sesión, filtrado por su rol y pacientes asignados (PRD §7.12).</t>
        </is>
      </c>
      <c r="G232" s="2" t="inlineStr">
        <is>
          <t>Web</t>
        </is>
      </c>
      <c r="H232" s="2" t="inlineStr">
        <is>
          <t>Alerta de vencimiento de LM ya generada por el job para el administrativo admin01 asignado al paciente.</t>
        </is>
      </c>
      <c r="I232" s="2" t="inlineStr">
        <is>
          <t>1. Iniciar sesión con el usuario admin01. 2. Abrir el panel de notificaciones in-app. 3. Localizar la alerta de vencimiento de la LM.</t>
        </is>
      </c>
      <c r="J232" s="2" t="inlineStr">
        <is>
          <t>La alerta aparece en el panel de notificaciones in-app de admin01, con los datos de la LM y del paciente; el panel muestra solo alertas de su rol y sus pacientes asignados.</t>
        </is>
      </c>
      <c r="K232" s="2" t="inlineStr"/>
      <c r="L232" s="2" t="inlineStr"/>
      <c r="M232" s="2" t="inlineStr">
        <is>
          <t>P0</t>
        </is>
      </c>
      <c r="N232" s="3" t="inlineStr">
        <is>
          <t>Critical</t>
        </is>
      </c>
      <c r="O232" s="2" t="inlineStr"/>
      <c r="P232" s="2" t="inlineStr"/>
      <c r="Q232" s="2" t="inlineStr">
        <is>
          <t>S1</t>
        </is>
      </c>
    </row>
    <row r="233">
      <c r="A233" s="2" t="inlineStr">
        <is>
          <t>EPIC-07</t>
        </is>
      </c>
      <c r="B233" s="2" t="inlineStr">
        <is>
          <t>TC-CEPA-072-003</t>
        </is>
      </c>
      <c r="C233" s="2" t="inlineStr">
        <is>
          <t>Functional</t>
        </is>
      </c>
      <c r="D233" s="2" t="inlineStr">
        <is>
          <t>Exclusión de LM vencidas/anuladas</t>
        </is>
      </c>
      <c r="E233" s="2" t="inlineStr">
        <is>
          <t>Motor de alertas de vencimiento de LM</t>
        </is>
      </c>
      <c r="F233" s="2" t="inlineStr">
        <is>
          <t>Verificar que una LM ya vencida o anulada no genera ni mantiene alerta de 'por vencer' al ejecutar la revisión de alertas.</t>
        </is>
      </c>
      <c r="G233" s="2" t="inlineStr">
        <is>
          <t>API</t>
        </is>
      </c>
      <c r="H233" s="2" t="inlineStr">
        <is>
          <t>Una LM con fecha de término = ayer (vencida) y otra LM anulada por 77 BIS con término dentro de 2 días hábiles; ambas del mismo administrativo asignado.</t>
        </is>
      </c>
      <c r="I233" s="2" t="inlineStr">
        <is>
          <t>1. Ejecutar el job de revisión de alertas. 2. Consultar las alertas activas del administrativo asignado. 3. Verificar el estado de cualquier alerta previa asociada a la LM anulada.</t>
        </is>
      </c>
      <c r="J233" s="2" t="inlineStr">
        <is>
          <t>No se genera alerta de 'por vencer' para la LM vencida ni para la anulada; si existía una alerta previa para la LM anulada, deja de mantenerse activa.</t>
        </is>
      </c>
      <c r="K233" s="2" t="inlineStr"/>
      <c r="L233" s="2" t="inlineStr"/>
      <c r="M233" s="2" t="inlineStr">
        <is>
          <t>P0</t>
        </is>
      </c>
      <c r="N233" s="4" t="inlineStr">
        <is>
          <t>Major</t>
        </is>
      </c>
      <c r="O233" s="2" t="inlineStr"/>
      <c r="P233" s="2" t="inlineStr"/>
      <c r="Q233" s="2" t="inlineStr">
        <is>
          <t>S3</t>
        </is>
      </c>
    </row>
    <row r="234">
      <c r="A234" s="2" t="inlineStr">
        <is>
          <t>EPIC-07</t>
        </is>
      </c>
      <c r="B234" s="2" t="inlineStr">
        <is>
          <t>TC-CEPA-072-004</t>
        </is>
      </c>
      <c r="C234" s="2" t="inlineStr">
        <is>
          <t>Business Rules</t>
        </is>
      </c>
      <c r="D234" s="2" t="inlineStr">
        <is>
          <t>Cálculo de días hábiles</t>
        </is>
      </c>
      <c r="E234" s="2" t="inlineStr">
        <is>
          <t>Calculadora de días hábiles</t>
        </is>
      </c>
      <c r="F234" s="2" t="inlineStr">
        <is>
          <t>Verificar que el umbral de 3 días hábiles excluye sábados, domingos y festivos: LM cuyo término cae tras un fin de semana genera la alerta el día correcto.</t>
        </is>
      </c>
      <c r="G234" s="2" t="inlineStr">
        <is>
          <t>API</t>
        </is>
      </c>
      <c r="H234" s="2" t="inlineStr">
        <is>
          <t>LM vigente con término = miércoles 10/06/2026; fecha de ejecución del job = viernes 05/06/2026 (mié 10 está a 3 días hábiles: lun, mar, mié).</t>
        </is>
      </c>
      <c r="I234" s="2" t="inlineStr">
        <is>
          <t>1. Configurar la fecha del entorno en viernes 05/06/2026. 2. Ejecutar el job de alertas y consultar las alertas generadas. 3. Repetir la ejecución con fecha jueves 04/06/2026 (4 días hábiles de distancia) y consultar.</t>
        </is>
      </c>
      <c r="J234" s="2" t="inlineStr">
        <is>
          <t>El viernes se genera la alerta (término dentro de 3 días hábiles, sábado y domingo excluidos); el jueves anterior no se genera (aún a 4 días hábiles).</t>
        </is>
      </c>
      <c r="K234" s="2" t="inlineStr"/>
      <c r="L234" s="2" t="inlineStr"/>
      <c r="M234" s="2" t="inlineStr">
        <is>
          <t>P0</t>
        </is>
      </c>
      <c r="N234" s="4" t="inlineStr">
        <is>
          <t>Major</t>
        </is>
      </c>
      <c r="O234" s="2" t="inlineStr"/>
      <c r="P234" s="2" t="inlineStr"/>
      <c r="Q234" s="2" t="inlineStr">
        <is>
          <t>BR-1</t>
        </is>
      </c>
    </row>
    <row r="235">
      <c r="A235" s="2" t="inlineStr">
        <is>
          <t>EPIC-07</t>
        </is>
      </c>
      <c r="B235" s="2" t="inlineStr">
        <is>
          <t>TC-CEPA-072-005</t>
        </is>
      </c>
      <c r="C235" s="2" t="inlineStr">
        <is>
          <t>Security</t>
        </is>
      </c>
      <c r="D235" s="2" t="inlineStr">
        <is>
          <t>Filtro por asignación</t>
        </is>
      </c>
      <c r="E235" s="2" t="inlineStr">
        <is>
          <t>Panel de notificaciones in-app</t>
        </is>
      </c>
      <c r="F235" s="2" t="inlineStr">
        <is>
          <t>Verificar que un administrativo NO asignado al paciente no ve en su panel la alerta de vencimiento de esa LM (filtro por pacientes asignados).</t>
        </is>
      </c>
      <c r="G235" s="2" t="inlineStr">
        <is>
          <t>Web</t>
        </is>
      </c>
      <c r="H235" s="2" t="inlineStr">
        <is>
          <t>Alerta de vencimiento generada para la LM de un paciente asignado a admin01; existe otro administrativo admin02 sin asignación a ese paciente.</t>
        </is>
      </c>
      <c r="I235" s="2" t="inlineStr">
        <is>
          <t>1. Iniciar sesión con admin02. 2. Abrir su panel de notificaciones in-app. 3. Buscar alertas relacionadas con el paciente de admin01.</t>
        </is>
      </c>
      <c r="J235" s="2" t="inlineStr">
        <is>
          <t>admin02 no ve la alerta de esa LM: el panel filtra por pacientes asignados y solo el administrativo asignado (admin01) recibe la notificación.</t>
        </is>
      </c>
      <c r="K235" s="2" t="inlineStr"/>
      <c r="L235" s="2" t="inlineStr"/>
      <c r="M235" s="2" t="inlineStr">
        <is>
          <t>P0</t>
        </is>
      </c>
      <c r="N235" s="4" t="inlineStr">
        <is>
          <t>Major</t>
        </is>
      </c>
      <c r="O235" s="2" t="inlineStr"/>
      <c r="P235" s="2" t="inlineStr"/>
      <c r="Q235" s="2" t="inlineStr">
        <is>
          <t>BR-2</t>
        </is>
      </c>
    </row>
    <row r="236">
      <c r="A236" s="2" t="inlineStr">
        <is>
          <t>EPIC-07</t>
        </is>
      </c>
      <c r="B236" s="2" t="inlineStr">
        <is>
          <t>TC-CEPA-072-006</t>
        </is>
      </c>
      <c r="C236" s="2" t="inlineStr">
        <is>
          <t>Business Rules</t>
        </is>
      </c>
      <c r="D236" s="2" t="inlineStr">
        <is>
          <t>Idempotencia del job</t>
        </is>
      </c>
      <c r="E236" s="2" t="inlineStr">
        <is>
          <t>Motor de alertas de vencimiento de LM</t>
        </is>
      </c>
      <c r="F236" s="2" t="inlineStr">
        <is>
          <t>Verificar que el job de alertas es idempotente: reejecutarlo no duplica una alerta ya activa para la misma LM.</t>
        </is>
      </c>
      <c r="G236" s="2" t="inlineStr">
        <is>
          <t>API</t>
        </is>
      </c>
      <c r="H236" s="2" t="inlineStr">
        <is>
          <t>LM con alerta de vencimiento activa generada por una ejecución previa del job en el mismo día.</t>
        </is>
      </c>
      <c r="I236" s="2" t="inlineStr">
        <is>
          <t>1. Verificar que existe exactamente 1 alerta activa para la LM. 2. Reejecutar el job de revisión de alertas el mismo día. 3. Consultar nuevamente las alertas activas de la LM.</t>
        </is>
      </c>
      <c r="J236" s="2" t="inlineStr">
        <is>
          <t>Sigue existiendo exactamente 1 alerta activa para la LM: el job no crea duplicados mientras la alerta previa esté vigente.</t>
        </is>
      </c>
      <c r="K236" s="2" t="inlineStr"/>
      <c r="L236" s="2" t="inlineStr"/>
      <c r="M236" s="2" t="inlineStr">
        <is>
          <t>P0</t>
        </is>
      </c>
      <c r="N236" s="4" t="inlineStr">
        <is>
          <t>Major</t>
        </is>
      </c>
      <c r="O236" s="2" t="inlineStr"/>
      <c r="P236" s="2" t="inlineStr"/>
      <c r="Q236" s="2" t="inlineStr">
        <is>
          <t>BR-4</t>
        </is>
      </c>
    </row>
    <row r="237">
      <c r="A237" s="2" t="inlineStr">
        <is>
          <t>EPIC-07</t>
        </is>
      </c>
      <c r="B237" s="2" t="inlineStr">
        <is>
          <t>TC-CEPA-072-007</t>
        </is>
      </c>
      <c r="C237" s="2" t="inlineStr">
        <is>
          <t>Business Rules</t>
        </is>
      </c>
      <c r="D237" s="2" t="inlineStr">
        <is>
          <t>Cobertura total de vencimientos</t>
        </is>
      </c>
      <c r="E237" s="2" t="inlineStr">
        <is>
          <t>Motor de alertas de vencimiento de LM</t>
        </is>
      </c>
      <c r="F237" s="2" t="inlineStr">
        <is>
          <t>Verificar la meta de negocio OU4: ningún vencimiento de LM ocurre sin alerta previa (0% de vencimientos sin alerta).</t>
        </is>
      </c>
      <c r="G237" s="2" t="inlineStr">
        <is>
          <t>Web/API</t>
        </is>
      </c>
      <c r="H237" s="2" t="inlineStr">
        <is>
          <t>Conjunto de prueba con 10 LM vigentes con fechas de término distribuidas en las próximas 2 semanas; job diario de alertas habilitado.</t>
        </is>
      </c>
      <c r="I237" s="2" t="inlineStr">
        <is>
          <t>1. Ejecutar el job diario durante el período simulado hasta que las 10 LM alcancen su fecha de término. 2. Al vencer cada LM, consultar el registro de alertas emitidas para esa LM. 3. Contabilizar las LM vencidas sin alerta previa.</t>
        </is>
      </c>
      <c r="J237" s="2" t="inlineStr">
        <is>
          <t>Las 10 LM vencidas tienen al menos una alerta de 'por vencer' emitida con anticipación al administrativo asignado: 0% de vencimientos sin alerta previa (OU4, PRD §3.1).</t>
        </is>
      </c>
      <c r="K237" s="2" t="inlineStr"/>
      <c r="L237" s="2" t="inlineStr"/>
      <c r="M237" s="2" t="inlineStr">
        <is>
          <t>P0</t>
        </is>
      </c>
      <c r="N237" s="3" t="inlineStr">
        <is>
          <t>Critical</t>
        </is>
      </c>
      <c r="O237" s="2" t="inlineStr"/>
      <c r="P237" s="2" t="inlineStr"/>
      <c r="Q237" s="2" t="inlineStr">
        <is>
          <t>BR-6</t>
        </is>
      </c>
    </row>
    <row r="238">
      <c r="A238" s="2" t="inlineStr">
        <is>
          <t>EPIC-07</t>
        </is>
      </c>
      <c r="B238" s="2" t="inlineStr">
        <is>
          <t>TC-CEPA-072-008</t>
        </is>
      </c>
      <c r="C238" s="2" t="inlineStr">
        <is>
          <t>Security</t>
        </is>
      </c>
      <c r="D238" s="2" t="inlineStr">
        <is>
          <t>Sin destinatario clínico</t>
        </is>
      </c>
      <c r="E238" s="2" t="inlineStr">
        <is>
          <t>Motor de alertas de vencimiento de LM</t>
        </is>
      </c>
      <c r="F238" s="2" t="inlineStr">
        <is>
          <t>Verificar que no existe destinatario clínico para las alertas de vencimiento: la alerta del PRD §7.7.4 dirigida a 'médico tratante' se reasigna exclusivamente al administrativo asignado (v4 D1).</t>
        </is>
      </c>
      <c r="G238" s="2" t="inlineStr">
        <is>
          <t>Web/API</t>
        </is>
      </c>
      <c r="H238" s="2" t="inlineStr">
        <is>
          <t>Sistema configurado con los perfiles v4 D1 (Coordinación, Administrativo, Auditor); alerta de vencimiento generada para una LM.</t>
        </is>
      </c>
      <c r="I238" s="2" t="inlineStr">
        <is>
          <t>1. Revisar la configuración de destinatarios del motor de alertas de vencimiento. 2. Consultar los destinatarios efectivos de la alerta generada. 3. Verificar en la administración de usuarios que no existe perfil Clínico con acceso al sistema.</t>
        </is>
      </c>
      <c r="J238" s="2" t="inlineStr">
        <is>
          <t>El único destinatario de la alerta es el administrativo asignado; no existe perfil Clínico en el sistema ni destinatarios de tipo médico tratante.</t>
        </is>
      </c>
      <c r="K238" s="2" t="inlineStr"/>
      <c r="L238" s="2" t="inlineStr"/>
      <c r="M238" s="2" t="inlineStr">
        <is>
          <t>P0</t>
        </is>
      </c>
      <c r="N238" s="5" t="inlineStr">
        <is>
          <t>Medium</t>
        </is>
      </c>
      <c r="O238" s="2" t="inlineStr"/>
      <c r="P238" s="2" t="inlineStr"/>
      <c r="Q238" s="2" t="inlineStr">
        <is>
          <t>TC-legacy</t>
        </is>
      </c>
    </row>
    <row r="239">
      <c r="A239" s="2" t="inlineStr">
        <is>
          <t>EPIC-07</t>
        </is>
      </c>
      <c r="B239" s="2" t="inlineStr">
        <is>
          <t>TC-CEPA-073-001</t>
        </is>
      </c>
      <c r="C239" s="2" t="inlineStr">
        <is>
          <t>Functional</t>
        </is>
      </c>
      <c r="D239" s="2" t="inlineStr">
        <is>
          <t>Trazabilidad envío ISL</t>
        </is>
      </c>
      <c r="E239" s="2" t="inlineStr">
        <is>
          <t>Registro de envío a ISL</t>
        </is>
      </c>
      <c r="F239" s="2" t="inlineStr">
        <is>
          <t>Verificar que al marcar el envío a ISL de una LM laboral con estado y fecha, la LM refleja ambos datos y quedan visibles en el historial del paciente.</t>
        </is>
      </c>
      <c r="G239" s="2" t="inlineStr">
        <is>
          <t>Web</t>
        </is>
      </c>
      <c r="H239" s="2" t="inlineStr">
        <is>
          <t>Usuario Administrativo autenticado; LM de origen laboral (tipo 5) registrada para un paciente con folio.</t>
        </is>
      </c>
      <c r="I239" s="2" t="inlineStr">
        <is>
          <t>1. Abrir el detalle de la LM laboral. 2. Marcar envío a ISL con estado=enviado y fecha=02/06/2026. 3. Hacer clic en 'Guardar'. 4. Abrir el historial de licencias del paciente.</t>
        </is>
      </c>
      <c r="J239" s="2" t="inlineStr">
        <is>
          <t>La LM muestra estado de envío 'enviado' y fecha 02/06/2026; ambos datos son visibles en el historial de licencias del paciente.</t>
        </is>
      </c>
      <c r="K239" s="2" t="inlineStr"/>
      <c r="L239" s="2" t="inlineStr"/>
      <c r="M239" s="2" t="inlineStr">
        <is>
          <t>P0</t>
        </is>
      </c>
      <c r="N239" s="3" t="inlineStr">
        <is>
          <t>Critical</t>
        </is>
      </c>
      <c r="O239" s="2" t="inlineStr"/>
      <c r="P239" s="2" t="inlineStr"/>
      <c r="Q239" s="2" t="inlineStr">
        <is>
          <t>S1</t>
        </is>
      </c>
    </row>
    <row r="240">
      <c r="A240" s="2" t="inlineStr">
        <is>
          <t>EPIC-07</t>
        </is>
      </c>
      <c r="B240" s="2" t="inlineStr">
        <is>
          <t>TC-CEPA-073-002</t>
        </is>
      </c>
      <c r="C240" s="2" t="inlineStr">
        <is>
          <t>Functional</t>
        </is>
      </c>
      <c r="D240" s="2" t="inlineStr">
        <is>
          <t>Registro EEAG/GAF y observaciones</t>
        </is>
      </c>
      <c r="E240" s="2" t="inlineStr">
        <is>
          <t>Registro de EEAG/GAF y observaciones</t>
        </is>
      </c>
      <c r="F240" s="2" t="inlineStr">
        <is>
          <t>Verificar que el EEAG/GAF, la fecha de emisión y las observaciones registradas quedan asociadas a la LM y disponibles para auditoría.</t>
        </is>
      </c>
      <c r="G240" s="2" t="inlineStr">
        <is>
          <t>Web</t>
        </is>
      </c>
      <c r="H240" s="2" t="inlineStr">
        <is>
          <t>Usuario Administrativo autenticado; LM registrada para un paciente con folio.</t>
        </is>
      </c>
      <c r="I240" s="2" t="inlineStr">
        <is>
          <t>1. Abrir el detalle de la LM. 2. Ingresar EEAG/GAF=65, fecha de emisión=30/05/2026 y observaciones='Prórroga solicitada por médico tratante externo'. 3. Hacer clic en 'Guardar'. 4. Consultar el detalle de la LM con un usuario Auditor.</t>
        </is>
      </c>
      <c r="J240" s="2" t="inlineStr">
        <is>
          <t>EEAG=65, fecha de emisión y observaciones quedan asociados a la LM, se persisten correctamente y son consultables por el perfil Auditor para fines de auditoría.</t>
        </is>
      </c>
      <c r="K240" s="2" t="inlineStr"/>
      <c r="L240" s="2" t="inlineStr"/>
      <c r="M240" s="2" t="inlineStr">
        <is>
          <t>P0</t>
        </is>
      </c>
      <c r="N240" s="4" t="inlineStr">
        <is>
          <t>Major</t>
        </is>
      </c>
      <c r="O240" s="2" t="inlineStr"/>
      <c r="P240" s="2" t="inlineStr"/>
      <c r="Q240" s="2" t="inlineStr">
        <is>
          <t>S1</t>
        </is>
      </c>
    </row>
    <row r="241">
      <c r="A241" s="2" t="inlineStr">
        <is>
          <t>EPIC-07</t>
        </is>
      </c>
      <c r="B241" s="2" t="inlineStr">
        <is>
          <t>TC-CEPA-073-003</t>
        </is>
      </c>
      <c r="C241" s="2" t="inlineStr">
        <is>
          <t>Functional</t>
        </is>
      </c>
      <c r="D241" s="2" t="inlineStr">
        <is>
          <t>Licencia extra-sistema</t>
        </is>
      </c>
      <c r="E241" s="2" t="inlineStr">
        <is>
          <t>Registro de licencias extra-sistema</t>
        </is>
      </c>
      <c r="F241" s="2" t="inlineStr">
        <is>
          <t>Verificar que una licencia extra-sistema registrada aparece en el historial completo del paciente y se incluye en sus días acumulados (v4 D7).</t>
        </is>
      </c>
      <c r="G241" s="2" t="inlineStr">
        <is>
          <t>Web</t>
        </is>
      </c>
      <c r="H241" s="2" t="inlineStr">
        <is>
          <t>Usuario Administrativo autenticado; paciente con folio y acumulado conocido de 10 días (1 LM en sistema).</t>
        </is>
      </c>
      <c r="I241" s="2" t="inlineStr">
        <is>
          <t>1. Registrar una nueva LM marcándola como extra-sistema, con 20 días (inicio=01/07/2026, término=20/07/2026, sin solapamiento). 2. Guardar. 3. Abrir el historial completo de licencias del paciente. 4. Verificar el acumulado de días.</t>
        </is>
      </c>
      <c r="J241" s="2" t="inlineStr">
        <is>
          <t>La LM extra-sistema aparece en el historial marcada con su origen extra-sistema y el acumulado del paciente pasa a 30 días (coordinado con CEPA-071).</t>
        </is>
      </c>
      <c r="K241" s="2" t="inlineStr"/>
      <c r="L241" s="2" t="inlineStr"/>
      <c r="M241" s="2" t="inlineStr">
        <is>
          <t>P0</t>
        </is>
      </c>
      <c r="N241" s="3" t="inlineStr">
        <is>
          <t>Critical</t>
        </is>
      </c>
      <c r="O241" s="2" t="inlineStr"/>
      <c r="P241" s="2" t="inlineStr"/>
      <c r="Q241" s="2" t="inlineStr">
        <is>
          <t>S1</t>
        </is>
      </c>
    </row>
    <row r="242">
      <c r="A242" s="2" t="inlineStr">
        <is>
          <t>EPIC-07</t>
        </is>
      </c>
      <c r="B242" s="2" t="inlineStr">
        <is>
          <t>TC-CEPA-073-004</t>
        </is>
      </c>
      <c r="C242" s="2" t="inlineStr">
        <is>
          <t>Security</t>
        </is>
      </c>
      <c r="D242" s="2" t="inlineStr">
        <is>
          <t>RBAC lectura Auditor</t>
        </is>
      </c>
      <c r="E242" s="2" t="inlineStr">
        <is>
          <t>Historial de licencias por paciente</t>
        </is>
      </c>
      <c r="F242" s="2" t="inlineStr">
        <is>
          <t>Verificar que un auditor puede ver el historial completo de LM del paciente (en-sistema y extra-sistema) con su trazabilidad ISL, en modo solo lectura.</t>
        </is>
      </c>
      <c r="G242" s="2" t="inlineStr">
        <is>
          <t>Web</t>
        </is>
      </c>
      <c r="H242" s="2" t="inlineStr">
        <is>
          <t>Usuario con perfil Auditor autenticado; paciente con LM en sistema y extra-sistema, con estados de envío ISL registrados.</t>
        </is>
      </c>
      <c r="I242" s="2" t="inlineStr">
        <is>
          <t>1. Iniciar sesión con perfil Auditor. 2. Abrir el caso del paciente. 3. Abrir el historial de LM del paciente. 4. Revisar cada licencia y sus datos de trazabilidad ISL.</t>
        </is>
      </c>
      <c r="J242" s="2" t="inlineStr">
        <is>
          <t>El auditor ve todas las licencias (en-sistema y extra-sistema) con su origen, estado de envío ISL y diagnóstico; toda la vista está en modo solo lectura, sin controles de edición habilitados.</t>
        </is>
      </c>
      <c r="K242" s="2" t="inlineStr"/>
      <c r="L242" s="2" t="inlineStr"/>
      <c r="M242" s="2" t="inlineStr">
        <is>
          <t>P0</t>
        </is>
      </c>
      <c r="N242" s="4" t="inlineStr">
        <is>
          <t>Major</t>
        </is>
      </c>
      <c r="O242" s="2" t="inlineStr"/>
      <c r="P242" s="2" t="inlineStr"/>
      <c r="Q242" s="2" t="inlineStr">
        <is>
          <t>S1</t>
        </is>
      </c>
    </row>
    <row r="243">
      <c r="A243" s="2" t="inlineStr">
        <is>
          <t>EPIC-07</t>
        </is>
      </c>
      <c r="B243" s="2" t="inlineStr">
        <is>
          <t>TC-CEPA-073-005</t>
        </is>
      </c>
      <c r="C243" s="2" t="inlineStr">
        <is>
          <t>Business Rules</t>
        </is>
      </c>
      <c r="D243" s="2" t="inlineStr">
        <is>
          <t>Fecha de envío obligatoria</t>
        </is>
      </c>
      <c r="E243" s="2" t="inlineStr">
        <is>
          <t>Registro de envío a ISL</t>
        </is>
      </c>
      <c r="F243" s="2" t="inlineStr">
        <is>
          <t>Verificar que la fecha de envío a ISL es obligatoria cuando el estado es 'enviado' o 'rechazado'.</t>
        </is>
      </c>
      <c r="G243" s="2" t="inlineStr">
        <is>
          <t>Web</t>
        </is>
      </c>
      <c r="H243" s="2" t="inlineStr">
        <is>
          <t>Usuario Administrativo autenticado; LM laboral registrada con envío ISL pendiente.</t>
        </is>
      </c>
      <c r="I243" s="2" t="inlineStr">
        <is>
          <t>1. Abrir el detalle de la LM. 2. Cambiar el estado de envío a ISL a 'enviado' dejando la fecha vacía. 3. Hacer clic en 'Guardar'. 4. Repetir con estado='rechazado' y fecha vacía.</t>
        </is>
      </c>
      <c r="J243" s="2" t="inlineStr">
        <is>
          <t>En ambos casos el sistema muestra error de validación 'fecha de envío obligatoria' y no guarda; con fecha informada el guardado procede.</t>
        </is>
      </c>
      <c r="K243" s="2" t="inlineStr"/>
      <c r="L243" s="2" t="inlineStr"/>
      <c r="M243" s="2" t="inlineStr">
        <is>
          <t>P0</t>
        </is>
      </c>
      <c r="N243" s="4" t="inlineStr">
        <is>
          <t>Major</t>
        </is>
      </c>
      <c r="O243" s="2" t="inlineStr"/>
      <c r="P243" s="2" t="inlineStr"/>
      <c r="Q243" s="2" t="inlineStr">
        <is>
          <t>BR-2</t>
        </is>
      </c>
    </row>
    <row r="244">
      <c r="A244" s="2" t="inlineStr">
        <is>
          <t>EPIC-07</t>
        </is>
      </c>
      <c r="B244" s="2" t="inlineStr">
        <is>
          <t>TC-CEPA-073-006</t>
        </is>
      </c>
      <c r="C244" s="2" t="inlineStr">
        <is>
          <t>Business Rules</t>
        </is>
      </c>
      <c r="D244" s="2" t="inlineStr">
        <is>
          <t>Rango EEAG/GAF</t>
        </is>
      </c>
      <c r="E244" s="2" t="inlineStr">
        <is>
          <t>Validador de EEAG/GAF</t>
        </is>
      </c>
      <c r="F244" s="2" t="inlineStr">
        <is>
          <t>Verificar que el campo EEAG/GAF solo acepta valores en el rango 1–100, rechazando valores fuera de rango.</t>
        </is>
      </c>
      <c r="G244" s="2" t="inlineStr">
        <is>
          <t>Web/API</t>
        </is>
      </c>
      <c r="H244" s="2" t="inlineStr">
        <is>
          <t>Usuario Administrativo autenticado; LM registrada.</t>
        </is>
      </c>
      <c r="I244" s="2" t="inlineStr">
        <is>
          <t>1. Abrir el detalle de la LM e ingresar EEAG=150; hacer clic en 'Guardar'. 2. Ingresar EEAG=0 y hacer clic en 'Guardar'. 3. Vía API, enviar EEAG=-5. 4. Ingresar EEAG=100 y guardar.</t>
        </is>
      </c>
      <c r="J244" s="2" t="inlineStr">
        <is>
          <t>Los valores 150, 0 y -5 son rechazados con mensaje 'GAF debe estar en 1–100'; el valor límite 100 se guarda correctamente.</t>
        </is>
      </c>
      <c r="K244" s="2" t="inlineStr"/>
      <c r="L244" s="2" t="inlineStr"/>
      <c r="M244" s="2" t="inlineStr">
        <is>
          <t>P0</t>
        </is>
      </c>
      <c r="N244" s="5" t="inlineStr">
        <is>
          <t>Medium</t>
        </is>
      </c>
      <c r="O244" s="2" t="inlineStr"/>
      <c r="P244" s="2" t="inlineStr"/>
      <c r="Q244" s="2" t="inlineStr">
        <is>
          <t>BR-1</t>
        </is>
      </c>
    </row>
    <row r="245">
      <c r="A245" s="2" t="inlineStr">
        <is>
          <t>EPIC-07</t>
        </is>
      </c>
      <c r="B245" s="2" t="inlineStr">
        <is>
          <t>TC-CEPA-073-007</t>
        </is>
      </c>
      <c r="C245" s="2" t="inlineStr">
        <is>
          <t>Business Rules</t>
        </is>
      </c>
      <c r="D245" s="2" t="inlineStr">
        <is>
          <t>Orden cronológico del historial</t>
        </is>
      </c>
      <c r="E245" s="2" t="inlineStr">
        <is>
          <t>Historial de licencias por paciente</t>
        </is>
      </c>
      <c r="F245" s="2" t="inlineStr">
        <is>
          <t>Verificar que el historial completo de licencias lista todas las LM del folio ordenadas cronológicamente, con origen, estado de envío y diagnóstico.</t>
        </is>
      </c>
      <c r="G245" s="2" t="inlineStr">
        <is>
          <t>Web</t>
        </is>
      </c>
      <c r="H245" s="2" t="inlineStr">
        <is>
          <t>Usuario Administrativo autenticado; paciente con 4 LM: en-sistema del 01/03/2026, extra-sistema del 15/04/2026, en-sistema del 10/05/2026 y en-sistema del 01/06/2026, con diagnósticos y estados ISL distintos.</t>
        </is>
      </c>
      <c r="I245" s="2" t="inlineStr">
        <is>
          <t>1. Abrir el historial de licencias del paciente. 2. Verificar el orden de las 4 LM listadas. 3. Verificar que cada fila muestra origen (en-sistema/extra-sistema), estado de envío ISL y diagnóstico.</t>
        </is>
      </c>
      <c r="J245" s="2" t="inlineStr">
        <is>
          <t>Las 4 LM aparecen ordenadas cronológicamente (marzo, abril, mayo, junio) y cada una muestra su origen, estado de envío ISL y diagnóstico.</t>
        </is>
      </c>
      <c r="K245" s="2" t="inlineStr"/>
      <c r="L245" s="2" t="inlineStr"/>
      <c r="M245" s="2" t="inlineStr">
        <is>
          <t>P0</t>
        </is>
      </c>
      <c r="N245" s="5" t="inlineStr">
        <is>
          <t>Medium</t>
        </is>
      </c>
      <c r="O245" s="2" t="inlineStr"/>
      <c r="P245" s="2" t="inlineStr"/>
      <c r="Q245" s="2" t="inlineStr">
        <is>
          <t>BR-3</t>
        </is>
      </c>
    </row>
    <row r="246">
      <c r="A246" s="2" t="inlineStr">
        <is>
          <t>EPIC-07</t>
        </is>
      </c>
      <c r="B246" s="2" t="inlineStr">
        <is>
          <t>TC-CEPA-073-008</t>
        </is>
      </c>
      <c r="C246" s="2" t="inlineStr">
        <is>
          <t>Business Rules</t>
        </is>
      </c>
      <c r="D246" s="2" t="inlineStr">
        <is>
          <t>Estado ISL de extra-sistema</t>
        </is>
      </c>
      <c r="E246" s="2" t="inlineStr">
        <is>
          <t>Registro de licencias extra-sistema</t>
        </is>
      </c>
      <c r="F246" s="2" t="inlineStr">
        <is>
          <t>Verificar que una licencia extra-sistema se distingue con marca de origen y su estado ISL puede quedar como 'no aplica / externo' al no ser gestionado por CEPA.</t>
        </is>
      </c>
      <c r="G246" s="2" t="inlineStr">
        <is>
          <t>Web</t>
        </is>
      </c>
      <c r="H246" s="2" t="inlineStr">
        <is>
          <t>Usuario Administrativo autenticado; paciente con folio existente.</t>
        </is>
      </c>
      <c r="I246" s="2" t="inlineStr">
        <is>
          <t>1. Registrar una LM marcándola como extra-sistema (origen IMED/papel). 2. Verificar el valor por defecto/disponible del estado de envío ISL para esa LM. 3. Guardar y abrir el historial del paciente.</t>
        </is>
      </c>
      <c r="J246" s="2" t="inlineStr">
        <is>
          <t>La LM queda registrada con marca visible de origen extra-sistema y su estado ISL figura como 'no aplica / externo' sin exigir los datos del flujo regular de envío.</t>
        </is>
      </c>
      <c r="K246" s="2" t="inlineStr"/>
      <c r="L246" s="2" t="inlineStr"/>
      <c r="M246" s="2" t="inlineStr">
        <is>
          <t>P0</t>
        </is>
      </c>
      <c r="N246" s="5" t="inlineStr">
        <is>
          <t>Medium</t>
        </is>
      </c>
      <c r="O246" s="2" t="inlineStr"/>
      <c r="P246" s="2" t="inlineStr"/>
      <c r="Q246" s="2" t="inlineStr">
        <is>
          <t>BR-4</t>
        </is>
      </c>
    </row>
    <row r="247">
      <c r="A247" s="2" t="inlineStr">
        <is>
          <t>EPIC-07</t>
        </is>
      </c>
      <c r="B247" s="2" t="inlineStr">
        <is>
          <t>TC-CEPA-073-009</t>
        </is>
      </c>
      <c r="C247" s="2" t="inlineStr">
        <is>
          <t>Business Rules</t>
        </is>
      </c>
      <c r="D247" s="2" t="inlineStr">
        <is>
          <t>Rechazo 77 BIS</t>
        </is>
      </c>
      <c r="E247" s="2" t="inlineStr">
        <is>
          <t>Registro de envío a ISL</t>
        </is>
      </c>
      <c r="F247" s="2" t="inlineStr">
        <is>
          <t>Verificar que un rechazo por 77 BIS se refleja en el estado y observaciones de la LM y dispara su exclusión del acumulado vigente (coordinado con CEPA-071 RN-4).</t>
        </is>
      </c>
      <c r="G247" s="2" t="inlineStr">
        <is>
          <t>Web</t>
        </is>
      </c>
      <c r="H247" s="2" t="inlineStr">
        <is>
          <t>Usuario Administrativo autenticado; paciente con 2 LM (15 y 10 días, acumulado = 25); LM de 15 días enviada a ISL.</t>
        </is>
      </c>
      <c r="I247" s="2" t="inlineStr">
        <is>
          <t>1. Abrir el detalle de la LM de 15 días. 2. Registrar estado de envío ISL='rechazado' con fecha y observación='Rechazo 77 BIS: recalificación a origen común'. 3. Hacer clic en 'Guardar'. 4. Verificar el acumulado vigente del paciente y el historial.</t>
        </is>
      </c>
      <c r="J247" s="2" t="inlineStr">
        <is>
          <t>El estado 'rechazado' y la observación 77 BIS quedan reflejados en la LM; el acumulado vigente pasa a 10 días (excluye la LM rechazada) y la LM permanece en el historial.</t>
        </is>
      </c>
      <c r="K247" s="2" t="inlineStr"/>
      <c r="L247" s="2" t="inlineStr"/>
      <c r="M247" s="2" t="inlineStr">
        <is>
          <t>P0</t>
        </is>
      </c>
      <c r="N247" s="4" t="inlineStr">
        <is>
          <t>Major</t>
        </is>
      </c>
      <c r="O247" s="2" t="inlineStr"/>
      <c r="P247" s="2" t="inlineStr"/>
      <c r="Q247" s="2" t="inlineStr">
        <is>
          <t>BR-5</t>
        </is>
      </c>
    </row>
    <row r="248">
      <c r="A248" s="2" t="inlineStr">
        <is>
          <t>EPIC-07</t>
        </is>
      </c>
      <c r="B248" s="2" t="inlineStr">
        <is>
          <t>TC-CEPA-073-010</t>
        </is>
      </c>
      <c r="C248" s="2" t="inlineStr">
        <is>
          <t>Security</t>
        </is>
      </c>
      <c r="D248" s="2" t="inlineStr">
        <is>
          <t>RBAC edición</t>
        </is>
      </c>
      <c r="E248" s="2" t="inlineStr">
        <is>
          <t>Control de acceso por rol (RBAC)</t>
        </is>
      </c>
      <c r="F248" s="2" t="inlineStr">
        <is>
          <t>Verificar que solo los perfiles con CRUD (Administrativo, Coordinación) editan la trazabilidad ISL y que el Auditor tiene la edición denegada.</t>
        </is>
      </c>
      <c r="G248" s="2" t="inlineStr">
        <is>
          <t>Web/API</t>
        </is>
      </c>
      <c r="H248" s="2" t="inlineStr">
        <is>
          <t>Usuario con perfil Auditor autenticado; LM con trazabilidad ISL registrada; usuarios de prueba con perfiles Administrativo y Coordinación disponibles.</t>
        </is>
      </c>
      <c r="I248" s="2" t="inlineStr">
        <is>
          <t>1. Con sesión Auditor, intentar editar el estado de envío ISL desde la interfaz. 2. Vía API PUT /api/v1 de trazabilidad, intentar el cambio con el token del Auditor. 3. Repetir la edición con sesión Administrativo y luego con Coordinación.</t>
        </is>
      </c>
      <c r="J248" s="2" t="inlineStr">
        <is>
          <t>Con Auditor la edición está denegada (controles deshabilitados y API responde 403) aunque la consulta del historial está permitida; con Administrativo y Coordinación la edición procede correctamente.</t>
        </is>
      </c>
      <c r="K248" s="2" t="inlineStr"/>
      <c r="L248" s="2" t="inlineStr"/>
      <c r="M248" s="2" t="inlineStr">
        <is>
          <t>P0</t>
        </is>
      </c>
      <c r="N248" s="3" t="inlineStr">
        <is>
          <t>Critical</t>
        </is>
      </c>
      <c r="O248" s="2" t="inlineStr"/>
      <c r="P248" s="2" t="inlineStr"/>
      <c r="Q248" s="2" t="inlineStr">
        <is>
          <t>BR-6</t>
        </is>
      </c>
    </row>
    <row r="249">
      <c r="A249" s="2" t="inlineStr">
        <is>
          <t>EPIC-07</t>
        </is>
      </c>
      <c r="B249" s="2" t="inlineStr">
        <is>
          <t>TC-CEPA-073-011</t>
        </is>
      </c>
      <c r="C249" s="2" t="inlineStr">
        <is>
          <t>Business Rules</t>
        </is>
      </c>
      <c r="D249" s="2" t="inlineStr">
        <is>
          <t>Log de auditoría</t>
        </is>
      </c>
      <c r="E249" s="2" t="inlineStr">
        <is>
          <t>Log de auditoría de trazabilidad</t>
        </is>
      </c>
      <c r="F249" s="2" t="inlineStr">
        <is>
          <t>Verificar que toda actualización de la trazabilidad ISL (estado, fecha, EEAG, observaciones) se registra en el log de auditoría.</t>
        </is>
      </c>
      <c r="G249" s="2" t="inlineStr">
        <is>
          <t>Web/API</t>
        </is>
      </c>
      <c r="H249" s="2" t="inlineStr">
        <is>
          <t>Usuario Administrativo autenticado (admin01); LM laboral registrada; acceso de consulta al log de auditoría.</t>
        </is>
      </c>
      <c r="I249" s="2" t="inlineStr">
        <is>
          <t>1. Cambiar el estado de envío ISL de 'pendiente' a 'enviado' con fecha y guardar. 2. Actualizar el EEAG de 60 a 70 y guardar. 3. Agregar una observación y guardar. 4. Consultar el log de auditoría filtrando por la LM.</t>
        </is>
      </c>
      <c r="J249" s="2" t="inlineStr">
        <is>
          <t>El log contiene una entrada por cada actualización de trazabilidad, indicando quién (admin01), qué campo cambió y cuándo.</t>
        </is>
      </c>
      <c r="K249" s="2" t="inlineStr"/>
      <c r="L249" s="2" t="inlineStr"/>
      <c r="M249" s="2" t="inlineStr">
        <is>
          <t>P0</t>
        </is>
      </c>
      <c r="N249" s="4" t="inlineStr">
        <is>
          <t>Major</t>
        </is>
      </c>
      <c r="O249" s="2" t="inlineStr"/>
      <c r="P249" s="2" t="inlineStr"/>
      <c r="Q249" s="2" t="inlineStr">
        <is>
          <t>BR-7</t>
        </is>
      </c>
    </row>
    <row r="250">
      <c r="A250" s="2" t="inlineStr">
        <is>
          <t>EPIC-08</t>
        </is>
      </c>
      <c r="B250" s="2" t="inlineStr">
        <is>
          <t>TC-CEPA-080-001</t>
        </is>
      </c>
      <c r="C250" s="2" t="inlineStr">
        <is>
          <t>Functional</t>
        </is>
      </c>
      <c r="D250" s="2" t="inlineStr">
        <is>
          <t>Propuesta diaria</t>
        </is>
      </c>
      <c r="E250" s="2" t="inlineStr">
        <is>
          <t>Generador de propuestas de agenda</t>
        </is>
      </c>
      <c r="F250" s="2" t="inlineStr">
        <is>
          <t>Verificar que al solicitar la propuesta de agenda diaria el sistema genera una lista ordenada de pacientes candidatos dentro de los bloques de disponibilidad del profesional, sin exceder su cupo diario, excluyendo pacientes con reposo vigente y priorizando controles vencidos/próximos y recetas con seguimiento pendiente.</t>
        </is>
      </c>
      <c r="G250" s="2" t="inlineStr">
        <is>
          <t>Web/API</t>
        </is>
      </c>
      <c r="H250" s="2" t="inlineStr">
        <is>
          <t>Usuario Administrativo autenticado; profesional con disponibilidad lun–vie y cupo 8/día configurado; 5 pacientes con control próximo sin reposo vigente (ej. RUT 12.345.678-5, 9.876.543-3).</t>
        </is>
      </c>
      <c r="I250" s="2" t="inlineStr">
        <is>
          <t>1. Navegar al módulo Agendamiento. 2. Seleccionar el profesional 'Dra. Pérez'. 3. Seleccionar el día hábil objetivo (martes de la semana en curso). 4. Hacer clic en 'Generar propuesta diaria'.</t>
        </is>
      </c>
      <c r="J250" s="2" t="inlineStr">
        <is>
          <t>El sistema genera una lista ordenada de los 5 pacientes candidatos para ese día, dentro de los bloques de disponibilidad del profesional, sin exceder el cupo de 8/día, sin incluir pacientes con reposo vigente y ordenados por prioridad (controles vencidos/próximos, luego recetas con seguimiento).</t>
        </is>
      </c>
      <c r="K250" s="2" t="inlineStr"/>
      <c r="L250" s="2" t="inlineStr"/>
      <c r="M250" s="2" t="inlineStr">
        <is>
          <t>P1</t>
        </is>
      </c>
      <c r="N250" s="3" t="inlineStr">
        <is>
          <t>Critical</t>
        </is>
      </c>
      <c r="O250" s="2" t="inlineStr"/>
      <c r="P250" s="2" t="inlineStr"/>
      <c r="Q250" s="2" t="inlineStr">
        <is>
          <t>S1</t>
        </is>
      </c>
    </row>
    <row r="251">
      <c r="A251" s="2" t="inlineStr">
        <is>
          <t>EPIC-08</t>
        </is>
      </c>
      <c r="B251" s="2" t="inlineStr">
        <is>
          <t>TC-CEPA-080-002</t>
        </is>
      </c>
      <c r="C251" s="2" t="inlineStr">
        <is>
          <t>Functional</t>
        </is>
      </c>
      <c r="D251" s="2" t="inlineStr">
        <is>
          <t>Propuesta semanal</t>
        </is>
      </c>
      <c r="E251" s="2" t="inlineStr">
        <is>
          <t>Generador de propuestas de agenda</t>
        </is>
      </c>
      <c r="F251" s="2" t="inlineStr">
        <is>
          <t>Verificar que la propuesta de agenda semanal distribuye los pacientes candidatos entre los días hábiles (lun–vie) respetando la disponibilidad y el cupo por día, sin proponer citas en días de reposo vigente y balanceando la carga entre los días.</t>
        </is>
      </c>
      <c r="G251" s="2" t="inlineStr">
        <is>
          <t>Web/API</t>
        </is>
      </c>
      <c r="H251" s="2" t="inlineStr">
        <is>
          <t>Usuario Coordinación autenticado; profesional disponible toda la semana con cupo 8/día; 12 pacientes candidatos sin reposo vigente.</t>
        </is>
      </c>
      <c r="I251" s="2" t="inlineStr">
        <is>
          <t>1. Navegar al módulo Agendamiento. 2. Seleccionar el profesional 'Dra. Pérez'. 3. Seleccionar la semana objetivo (lun–vie de la próxima semana). 4. Hacer clic en 'Generar propuesta semanal'.</t>
        </is>
      </c>
      <c r="J251" s="2" t="inlineStr">
        <is>
          <t>Los 12 candidatos se distribuyen entre los días hábiles de la semana sin exceder 8 citas por día, sin proponer citas en sábado ni domingo, sin proponer pacientes en días con reposo vigente y con la carga balanceada entre los días.</t>
        </is>
      </c>
      <c r="K251" s="2" t="inlineStr"/>
      <c r="L251" s="2" t="inlineStr"/>
      <c r="M251" s="2" t="inlineStr">
        <is>
          <t>P1</t>
        </is>
      </c>
      <c r="N251" s="3" t="inlineStr">
        <is>
          <t>Critical</t>
        </is>
      </c>
      <c r="O251" s="2" t="inlineStr"/>
      <c r="P251" s="2" t="inlineStr"/>
      <c r="Q251" s="2" t="inlineStr">
        <is>
          <t>S1</t>
        </is>
      </c>
    </row>
    <row r="252">
      <c r="A252" s="2" t="inlineStr">
        <is>
          <t>EPIC-08</t>
        </is>
      </c>
      <c r="B252" s="2" t="inlineStr">
        <is>
          <t>TC-CEPA-080-003</t>
        </is>
      </c>
      <c r="C252" s="2" t="inlineStr">
        <is>
          <t>Functional</t>
        </is>
      </c>
      <c r="D252" s="2" t="inlineStr">
        <is>
          <t>Propuesta mensual</t>
        </is>
      </c>
      <c r="E252" s="2" t="inlineStr">
        <is>
          <t>Generador de propuestas de agenda</t>
        </is>
      </c>
      <c r="F252" s="2" t="inlineStr">
        <is>
          <t>Verificar que la propuesta de agenda mensual entrega una vista consolidada por semanas del mes, respetando la disponibilidad del profesional y la periodicidad de control de cada paciente, marcando los controles vencidos como prioridad alta.</t>
        </is>
      </c>
      <c r="G252" s="2" t="inlineStr">
        <is>
          <t>Web/API</t>
        </is>
      </c>
      <c r="H252" s="2" t="inlineStr">
        <is>
          <t>Usuario Administrativo autenticado; profesional disponible durante el mes; pacientes con periodicidad de control mensual registrada; al menos 1 paciente con control vencido.</t>
        </is>
      </c>
      <c r="I252" s="2" t="inlineStr">
        <is>
          <t>1. Navegar al módulo Agendamiento. 2. Seleccionar el profesional 'Dra. Pérez'. 3. Seleccionar el mes objetivo completo (mes siguiente). 4. Hacer clic en 'Generar propuesta mensual'.</t>
        </is>
      </c>
      <c r="J252" s="2" t="inlineStr">
        <is>
          <t>El sistema entrega una propuesta consolidada por semanas del mes, que respeta la disponibilidad del profesional y la periodicidad de control de cada paciente; los pacientes con control vencido aparecen marcados con prioridad alta.</t>
        </is>
      </c>
      <c r="K252" s="2" t="inlineStr"/>
      <c r="L252" s="2" t="inlineStr"/>
      <c r="M252" s="2" t="inlineStr">
        <is>
          <t>P1</t>
        </is>
      </c>
      <c r="N252" s="4" t="inlineStr">
        <is>
          <t>Major</t>
        </is>
      </c>
      <c r="O252" s="2" t="inlineStr"/>
      <c r="P252" s="2" t="inlineStr"/>
      <c r="Q252" s="2" t="inlineStr">
        <is>
          <t>S1</t>
        </is>
      </c>
    </row>
    <row r="253">
      <c r="A253" s="2" t="inlineStr">
        <is>
          <t>EPIC-08</t>
        </is>
      </c>
      <c r="B253" s="2" t="inlineStr">
        <is>
          <t>TC-CEPA-080-004</t>
        </is>
      </c>
      <c r="C253" s="2" t="inlineStr">
        <is>
          <t>Business Rules</t>
        </is>
      </c>
      <c r="D253" s="2" t="inlineStr">
        <is>
          <t>Exclusión por reposo</t>
        </is>
      </c>
      <c r="E253" s="2" t="inlineStr">
        <is>
          <t>Motor de exclusión por reposo</t>
        </is>
      </c>
      <c r="F253" s="2" t="inlineStr">
        <is>
          <t>Verificar que un paciente con licencia médica cuyo período de reposo incluye la fecha candidata NO es propuesto en los días de reposo vigente, y que la propuesta indica el motivo de exclusión con la fecha de término del reposo.</t>
        </is>
      </c>
      <c r="G253" s="2" t="inlineStr">
        <is>
          <t>Web/API</t>
        </is>
      </c>
      <c r="H253" s="2" t="inlineStr">
        <is>
          <t>Usuario Administrativo autenticado; paciente RUT 12.345.678-5 con licencia médica de reposo total vigente del 01/08/2026 al 10/08/2026; el paciente tiene control próximo que lo haría candidato.</t>
        </is>
      </c>
      <c r="I253" s="2" t="inlineStr">
        <is>
          <t>1. Navegar al módulo Agendamiento. 2. Seleccionar el profesional tratante del paciente. 3. Seleccionar como día objetivo el 05/08/2026 (dentro del rango de reposo). 4. Hacer clic en 'Generar propuesta diaria'. 5. Revisar la lista de propuestos y la sección de exclusiones.</t>
        </is>
      </c>
      <c r="J253" s="2" t="inlineStr">
        <is>
          <t>El paciente NO aparece en la propuesta para el 05/08/2026 y la propuesta indica el motivo de exclusión: 'reposo vigente hasta 10/08/2026'.</t>
        </is>
      </c>
      <c r="K253" s="2" t="inlineStr"/>
      <c r="L253" s="2" t="inlineStr"/>
      <c r="M253" s="2" t="inlineStr">
        <is>
          <t>P1</t>
        </is>
      </c>
      <c r="N253" s="3" t="inlineStr">
        <is>
          <t>Critical</t>
        </is>
      </c>
      <c r="O253" s="2" t="inlineStr"/>
      <c r="P253" s="2" t="inlineStr"/>
      <c r="Q253" s="2" t="inlineStr">
        <is>
          <t>S3</t>
        </is>
      </c>
    </row>
    <row r="254">
      <c r="A254" s="2" t="inlineStr">
        <is>
          <t>EPIC-08</t>
        </is>
      </c>
      <c r="B254" s="2" t="inlineStr">
        <is>
          <t>TC-CEPA-080-005</t>
        </is>
      </c>
      <c r="C254" s="2" t="inlineStr">
        <is>
          <t>Business Rules</t>
        </is>
      </c>
      <c r="D254" s="2" t="inlineStr">
        <is>
          <t>Priorización por control</t>
        </is>
      </c>
      <c r="E254" s="2" t="inlineStr">
        <is>
          <t>Motor de priorización de candidatos</t>
        </is>
      </c>
      <c r="F254" s="2" t="inlineStr">
        <is>
          <t>Verificar que un paciente con próximo control programado dentro de la ventana de la propuesta se incluye y se prioriza, y que un control vencido se ubica por sobre los controles solo próximos, mostrando fecha de control y estado (vencido/próximo).</t>
        </is>
      </c>
      <c r="G254" s="2" t="inlineStr">
        <is>
          <t>Web/API</t>
        </is>
      </c>
      <c r="H254" s="2" t="inlineStr">
        <is>
          <t>Usuario Administrativo autenticado; paciente A (RUT 12.345.678-5) con control vencido hace 3 días; paciente B (RUT 9.876.543-3) con control próximo en 2 días; ambos sin reposo vigente; mismo profesional tratante.</t>
        </is>
      </c>
      <c r="I254" s="2" t="inlineStr">
        <is>
          <t>1. Navegar al módulo Agendamiento. 2. Seleccionar el profesional tratante. 3. Seleccionar un día hábil objetivo dentro de la ventana. 4. Hacer clic en 'Generar propuesta diaria'. 5. Revisar el orden de los candidatos y las columnas de fecha y estado del control.</t>
        </is>
      </c>
      <c r="J254" s="2" t="inlineStr">
        <is>
          <t>Ambos pacientes se incluyen en la propuesta; el paciente A (control vencido) se ordena por sobre el paciente B (control próximo); para cada uno se muestra la fecha de control y el estado 'vencido' o 'próximo'.</t>
        </is>
      </c>
      <c r="K254" s="2" t="inlineStr"/>
      <c r="L254" s="2" t="inlineStr"/>
      <c r="M254" s="2" t="inlineStr">
        <is>
          <t>P1</t>
        </is>
      </c>
      <c r="N254" s="4" t="inlineStr">
        <is>
          <t>Major</t>
        </is>
      </c>
      <c r="O254" s="2" t="inlineStr"/>
      <c r="P254" s="2" t="inlineStr"/>
      <c r="Q254" s="2" t="inlineStr">
        <is>
          <t>S1</t>
        </is>
      </c>
    </row>
    <row r="255">
      <c r="A255" s="2" t="inlineStr">
        <is>
          <t>EPIC-08</t>
        </is>
      </c>
      <c r="B255" s="2" t="inlineStr">
        <is>
          <t>TC-CEPA-080-006</t>
        </is>
      </c>
      <c r="C255" s="2" t="inlineStr">
        <is>
          <t>Functional</t>
        </is>
      </c>
      <c r="D255" s="2" t="inlineStr">
        <is>
          <t>Seguimiento de receta</t>
        </is>
      </c>
      <c r="E255" s="2" t="inlineStr">
        <is>
          <t>Motor de candidaturas por receta</t>
        </is>
      </c>
      <c r="F255" s="2" t="inlineStr">
        <is>
          <t>Verificar que un paciente con receta emitida recientemente dentro de la ventana de seguimiento y sin reposo vigente se incluye como candidato en la propuesta con la etiqueta 'seguimiento de receta'.</t>
        </is>
      </c>
      <c r="G255" s="2" t="inlineStr">
        <is>
          <t>Web/API</t>
        </is>
      </c>
      <c r="H255" s="2" t="inlineStr">
        <is>
          <t>Usuario Administrativo autenticado; paciente RUT 12.345.678-5 con receta emitida hace 2 días, con fecha de revisión próxima dentro de la ventana de seguimiento parametrizada; el paciente no tiene reposo vigente en la fecha candidata.</t>
        </is>
      </c>
      <c r="I255" s="2" t="inlineStr">
        <is>
          <t>1. Navegar al módulo Agendamiento. 2. Seleccionar el profesional tratante del paciente. 3. Seleccionar un día hábil objetivo. 4. Hacer clic en 'Generar propuesta diaria'. 5. Localizar al paciente en la lista de candidatos.</t>
        </is>
      </c>
      <c r="J255" s="2" t="inlineStr">
        <is>
          <t>El paciente aparece incluido como candidato en la propuesta con la etiqueta 'seguimiento de receta'.</t>
        </is>
      </c>
      <c r="K255" s="2" t="inlineStr"/>
      <c r="L255" s="2" t="inlineStr"/>
      <c r="M255" s="2" t="inlineStr">
        <is>
          <t>P1</t>
        </is>
      </c>
      <c r="N255" s="4" t="inlineStr">
        <is>
          <t>Major</t>
        </is>
      </c>
      <c r="O255" s="2" t="inlineStr"/>
      <c r="P255" s="2" t="inlineStr"/>
      <c r="Q255" s="2" t="inlineStr">
        <is>
          <t>S1</t>
        </is>
      </c>
    </row>
    <row r="256">
      <c r="A256" s="2" t="inlineStr">
        <is>
          <t>EPIC-08</t>
        </is>
      </c>
      <c r="B256" s="2" t="inlineStr">
        <is>
          <t>TC-CEPA-080-007</t>
        </is>
      </c>
      <c r="C256" s="2" t="inlineStr">
        <is>
          <t>Functional</t>
        </is>
      </c>
      <c r="D256" s="2" t="inlineStr">
        <is>
          <t>Confirmación de citas</t>
        </is>
      </c>
      <c r="E256" s="2" t="inlineStr">
        <is>
          <t>Confirmador de citas y contador de adherencia</t>
        </is>
      </c>
      <c r="F256" s="2" t="inlineStr">
        <is>
          <t>Verificar que al confirmar citas de una propuesta quedan agendadas y cuentan como 'citas agendadas' para el % de adherencia del dashboard, y que las propuestas descartadas no generan cita.</t>
        </is>
      </c>
      <c r="G256" s="2" t="inlineStr">
        <is>
          <t>Web/API</t>
        </is>
      </c>
      <c r="H256" s="2" t="inlineStr">
        <is>
          <t>Usuario Administrativo autenticado; propuesta de agenda diaria generada con 5 candidatos; valor inicial del contador 'citas agendadas' del dashboard conocido (ej. 100).</t>
        </is>
      </c>
      <c r="I256" s="2" t="inlineStr">
        <is>
          <t>1. Abrir la propuesta de agenda generada. 2. Seleccionar 3 de los 5 candidatos propuestos. 3. Hacer clic en 'Confirmar citas'. 4. Marcar los 2 candidatos restantes como 'Descartar'. 5. Navegar al dashboard y consultar el indicador de % de adherencia.</t>
        </is>
      </c>
      <c r="J256" s="2" t="inlineStr">
        <is>
          <t>Las 3 citas confirmadas quedan en estado 'agendada' y el denominador 'citas agendadas' del % de adherencia se incrementa en 3 (de 100 a 103); las 2 propuestas descartadas no generan cita ni afectan el indicador.</t>
        </is>
      </c>
      <c r="K256" s="2" t="inlineStr"/>
      <c r="L256" s="2" t="inlineStr"/>
      <c r="M256" s="2" t="inlineStr">
        <is>
          <t>P1</t>
        </is>
      </c>
      <c r="N256" s="3" t="inlineStr">
        <is>
          <t>Critical</t>
        </is>
      </c>
      <c r="O256" s="2" t="inlineStr"/>
      <c r="P256" s="2" t="inlineStr"/>
      <c r="Q256" s="2" t="inlineStr">
        <is>
          <t>S1</t>
        </is>
      </c>
    </row>
    <row r="257">
      <c r="A257" s="2" t="inlineStr">
        <is>
          <t>EPIC-08</t>
        </is>
      </c>
      <c r="B257" s="2" t="inlineStr">
        <is>
          <t>TC-CEPA-080-008</t>
        </is>
      </c>
      <c r="C257" s="2" t="inlineStr">
        <is>
          <t>Security</t>
        </is>
      </c>
      <c r="D257" s="2" t="inlineStr">
        <is>
          <t>RBAC</t>
        </is>
      </c>
      <c r="E257" s="2" t="inlineStr">
        <is>
          <t>Control de acceso del módulo de agendamiento</t>
        </is>
      </c>
      <c r="F257" s="2" t="inlineStr">
        <is>
          <t>Verificar que solo los perfiles Administrativo y Coordinación pueden generar/confirmar propuestas de agenda, que el perfil Auditor solo puede visualizarlas sin editar, y que cualquier otro acceso es denegado.</t>
        </is>
      </c>
      <c r="G257" s="2" t="inlineStr">
        <is>
          <t>Web/API</t>
        </is>
      </c>
      <c r="H257" s="2" t="inlineStr">
        <is>
          <t>Usuarios de prueba con perfiles Administrativo, Coordinación y Auditor; propuesta de agenda existente para un profesional; token JWT válido para cada perfil.</t>
        </is>
      </c>
      <c r="I257" s="2" t="inlineStr">
        <is>
          <t>1. Iniciar sesión como Administrativo y generar y confirmar una propuesta. 2. Cerrar sesión e iniciar como Coordinación; generar y confirmar una propuesta. 3. Cerrar sesión e iniciar como Auditor; abrir el módulo de agendamiento e intentar generar y confirmar una propuesta (UI y llamada directa POST al endpoint de generación con token de Auditor). 4. Enviar una petición al endpoint de generación con un token inválido/sin autenticación.</t>
        </is>
      </c>
      <c r="J257" s="2" t="inlineStr">
        <is>
          <t>Administrativo y Coordinación generan y confirman propuestas correctamente; para Auditor las acciones de generar/confirmar están deshabilitadas en la UI y la API responde 403, permitiendo solo la visualización de propuestas/agenda; la petición sin autenticación es rechazada (401).</t>
        </is>
      </c>
      <c r="K257" s="2" t="inlineStr"/>
      <c r="L257" s="2" t="inlineStr"/>
      <c r="M257" s="2" t="inlineStr">
        <is>
          <t>P1</t>
        </is>
      </c>
      <c r="N257" s="3" t="inlineStr">
        <is>
          <t>Critical</t>
        </is>
      </c>
      <c r="O257" s="2" t="inlineStr"/>
      <c r="P257" s="2" t="inlineStr"/>
      <c r="Q257" s="2" t="inlineStr">
        <is>
          <t>S3</t>
        </is>
      </c>
    </row>
    <row r="258">
      <c r="A258" s="2" t="inlineStr">
        <is>
          <t>EPIC-08</t>
        </is>
      </c>
      <c r="B258" s="2" t="inlineStr">
        <is>
          <t>TC-CEPA-080-009</t>
        </is>
      </c>
      <c r="C258" s="2" t="inlineStr">
        <is>
          <t>Business Rules</t>
        </is>
      </c>
      <c r="D258" s="2" t="inlineStr">
        <is>
          <t>Prevalencia de reposo</t>
        </is>
      </c>
      <c r="E258" s="2" t="inlineStr">
        <is>
          <t>Motor de exclusión por reposo</t>
        </is>
      </c>
      <c r="F258" s="2" t="inlineStr">
        <is>
          <t>Verificar que la exclusión por reposo vigente prevalece sobre cualquier criterio de inclusión: un paciente con receta reciente con seguimiento y reposo vigente en la misma fecha NO es propuesto.</t>
        </is>
      </c>
      <c r="G258" s="2" t="inlineStr">
        <is>
          <t>Web/API</t>
        </is>
      </c>
      <c r="H258" s="2" t="inlineStr">
        <is>
          <t>Usuario Administrativo autenticado; paciente RUT 12.345.678-5 con receta emitida hace 1 día dentro de la ventana de seguimiento Y licencia de reposo del 01/08/2026 al 10/08/2026 que cubre la fecha candidata.</t>
        </is>
      </c>
      <c r="I258" s="2" t="inlineStr">
        <is>
          <t>1. Navegar al módulo Agendamiento. 2. Seleccionar el profesional tratante del paciente. 3. Seleccionar como día objetivo el 05/08/2026 (dentro del reposo). 4. Hacer clic en 'Generar propuesta diaria'. 5. Revisar la lista de candidatos y las exclusiones.</t>
        </is>
      </c>
      <c r="J258" s="2" t="inlineStr">
        <is>
          <t>El paciente NO aparece propuesto pese a la receta reciente con seguimiento: la exclusión por reposo prevalece y se indica el motivo 'reposo vigente hasta 10/08/2026'.</t>
        </is>
      </c>
      <c r="K258" s="2" t="inlineStr"/>
      <c r="L258" s="2" t="inlineStr"/>
      <c r="M258" s="2" t="inlineStr">
        <is>
          <t>P1</t>
        </is>
      </c>
      <c r="N258" s="3" t="inlineStr">
        <is>
          <t>Critical</t>
        </is>
      </c>
      <c r="O258" s="2" t="inlineStr"/>
      <c r="P258" s="2" t="inlineStr"/>
      <c r="Q258" s="2" t="inlineStr">
        <is>
          <t>BR-1</t>
        </is>
      </c>
    </row>
    <row r="259">
      <c r="A259" s="2" t="inlineStr">
        <is>
          <t>EPIC-08</t>
        </is>
      </c>
      <c r="B259" s="2" t="inlineStr">
        <is>
          <t>TC-CEPA-080-010</t>
        </is>
      </c>
      <c r="C259" s="2" t="inlineStr">
        <is>
          <t>Business Rules</t>
        </is>
      </c>
      <c r="D259" s="2" t="inlineStr">
        <is>
          <t>Orden de prioridad completo</t>
        </is>
      </c>
      <c r="E259" s="2" t="inlineStr">
        <is>
          <t>Motor de priorización de candidatos</t>
        </is>
      </c>
      <c r="F259" s="2" t="inlineStr">
        <is>
          <t>Verificar el orden completo de prioridad de candidatos: (1) control vencido, (2) control próximo, (3) receta reciente con seguimiento; y que a igual prioridad se ordena por antigüedad de la fecha objetivo (más vencido/antiguo primero).</t>
        </is>
      </c>
      <c r="G259" s="2" t="inlineStr">
        <is>
          <t>Web/API</t>
        </is>
      </c>
      <c r="H259" s="2" t="inlineStr">
        <is>
          <t>Usuario Administrativo autenticado; mismo profesional con: paciente A control vencido hace 10 días, paciente B control vencido hace 3 días, paciente C control próximo en 2 días, paciente D con receta reciente en seguimiento; ninguno con reposo vigente.</t>
        </is>
      </c>
      <c r="I259" s="2" t="inlineStr">
        <is>
          <t>1. Navegar al módulo Agendamiento. 2. Seleccionar el profesional tratante. 3. Seleccionar un día hábil objetivo. 4. Hacer clic en 'Generar propuesta diaria'. 5. Registrar el orden de los 4 candidatos en la lista.</t>
        </is>
      </c>
      <c r="J259" s="2" t="inlineStr">
        <is>
          <t>El orden de la propuesta es: paciente A (vencido hace 10 días), paciente B (vencido hace 3 días), paciente C (control próximo), paciente D (seguimiento de receta): controles vencidos primero ordenados por antigüedad, luego próximos y por último recetas.</t>
        </is>
      </c>
      <c r="K259" s="2" t="inlineStr"/>
      <c r="L259" s="2" t="inlineStr"/>
      <c r="M259" s="2" t="inlineStr">
        <is>
          <t>P1</t>
        </is>
      </c>
      <c r="N259" s="4" t="inlineStr">
        <is>
          <t>Major</t>
        </is>
      </c>
      <c r="O259" s="2" t="inlineStr"/>
      <c r="P259" s="2" t="inlineStr"/>
      <c r="Q259" s="2" t="inlineStr">
        <is>
          <t>BR-2</t>
        </is>
      </c>
    </row>
    <row r="260">
      <c r="A260" s="2" t="inlineStr">
        <is>
          <t>EPIC-08</t>
        </is>
      </c>
      <c r="B260" s="2" t="inlineStr">
        <is>
          <t>TC-CEPA-080-011</t>
        </is>
      </c>
      <c r="C260" s="2" t="inlineStr">
        <is>
          <t>Business Rules</t>
        </is>
      </c>
      <c r="D260" s="2" t="inlineStr">
        <is>
          <t>Cupo diario y diferimiento</t>
        </is>
      </c>
      <c r="E260" s="2" t="inlineStr">
        <is>
          <t>Generador de propuestas de agenda</t>
        </is>
      </c>
      <c r="F260" s="2" t="inlineStr">
        <is>
          <t>Verificar que una propuesta nunca excede el cupo de disponibilidad diario del profesional y que el exceso de candidatos se difiere al siguiente día/semana hábil disponible.</t>
        </is>
      </c>
      <c r="G260" s="2" t="inlineStr">
        <is>
          <t>Web/API</t>
        </is>
      </c>
      <c r="H260" s="2" t="inlineStr">
        <is>
          <t>Usuario Administrativo autenticado; profesional con cupo 8/día; 14 candidatos prioritarios para un mismo día objetivo, sin reposo vigente.</t>
        </is>
      </c>
      <c r="I260" s="2" t="inlineStr">
        <is>
          <t>1. Navegar al módulo Agendamiento. 2. Seleccionar el profesional. 3. Seleccionar la semana objetivo que contiene el día con 14 candidatos. 4. Hacer clic en 'Generar propuesta semanal'. 5. Revisar la distribución de candidatos por día.</t>
        </is>
      </c>
      <c r="J260" s="2" t="inlineStr">
        <is>
          <t>El día objetivo recibe exactamente 8 candidatos (los de mayor prioridad) y los 6 restantes se difieren al siguiente día hábil disponible; ningún día de la propuesta excede el cupo de 8.</t>
        </is>
      </c>
      <c r="K260" s="2" t="inlineStr"/>
      <c r="L260" s="2" t="inlineStr"/>
      <c r="M260" s="2" t="inlineStr">
        <is>
          <t>P1</t>
        </is>
      </c>
      <c r="N260" s="4" t="inlineStr">
        <is>
          <t>Major</t>
        </is>
      </c>
      <c r="O260" s="2" t="inlineStr"/>
      <c r="P260" s="2" t="inlineStr"/>
      <c r="Q260" s="2" t="inlineStr">
        <is>
          <t>BR-3</t>
        </is>
      </c>
    </row>
    <row r="261">
      <c r="A261" s="2" t="inlineStr">
        <is>
          <t>EPIC-08</t>
        </is>
      </c>
      <c r="B261" s="2" t="inlineStr">
        <is>
          <t>TC-CEPA-080-012</t>
        </is>
      </c>
      <c r="C261" s="2" t="inlineStr">
        <is>
          <t>Business Rules</t>
        </is>
      </c>
      <c r="D261" s="2" t="inlineStr">
        <is>
          <t>Días hábiles y bloques</t>
        </is>
      </c>
      <c r="E261" s="2" t="inlineStr">
        <is>
          <t>Generador de propuestas de agenda</t>
        </is>
      </c>
      <c r="F261" s="2" t="inlineStr">
        <is>
          <t>Verificar que solo se consideran días hábiles (lun–vie) y los bloques de disponibilidad definidos para el profesional: no se proponen citas en fines de semana ni fuera de los bloques de disponibilidad.</t>
        </is>
      </c>
      <c r="G261" s="2" t="inlineStr">
        <is>
          <t>Web/API</t>
        </is>
      </c>
      <c r="H261" s="2" t="inlineStr">
        <is>
          <t>Usuario Administrativo autenticado; profesional con disponibilidad solo lun, mié y vie de 09:00 a 13:00; candidatos suficientes para cubrir todos los días de la semana.</t>
        </is>
      </c>
      <c r="I261" s="2" t="inlineStr">
        <is>
          <t>1. Navegar al módulo Agendamiento. 2. Seleccionar el profesional con disponibilidad parcial. 3. Seleccionar la semana objetivo. 4. Hacer clic en 'Generar propuesta semanal'. 5. Revisar los días y bloques horarios de las citas propuestas.</t>
        </is>
      </c>
      <c r="J261" s="2" t="inlineStr">
        <is>
          <t>La propuesta solo contiene citas en lunes, miércoles y viernes dentro del bloque 09:00–13:00; no hay citas propuestas en martes, jueves, sábado, domingo ni fuera del bloque de disponibilidad.</t>
        </is>
      </c>
      <c r="K261" s="2" t="inlineStr"/>
      <c r="L261" s="2" t="inlineStr"/>
      <c r="M261" s="2" t="inlineStr">
        <is>
          <t>P1</t>
        </is>
      </c>
      <c r="N261" s="4" t="inlineStr">
        <is>
          <t>Major</t>
        </is>
      </c>
      <c r="O261" s="2" t="inlineStr"/>
      <c r="P261" s="2" t="inlineStr"/>
      <c r="Q261" s="2" t="inlineStr">
        <is>
          <t>BR-4</t>
        </is>
      </c>
    </row>
    <row r="262">
      <c r="A262" s="2" t="inlineStr">
        <is>
          <t>EPIC-08</t>
        </is>
      </c>
      <c r="B262" s="2" t="inlineStr">
        <is>
          <t>TC-CEPA-080-013</t>
        </is>
      </c>
      <c r="C262" s="2" t="inlineStr">
        <is>
          <t>Business Rules</t>
        </is>
      </c>
      <c r="D262" s="2" t="inlineStr">
        <is>
          <t>Reposo por fecha candidata</t>
        </is>
      </c>
      <c r="E262" s="2" t="inlineStr">
        <is>
          <t>Motor de exclusión por reposo</t>
        </is>
      </c>
      <c r="F262" s="2" t="inlineStr">
        <is>
          <t>Verificar que el 'reposo vigente' se evalúa contra cada fecha candidata y no contra la fecha de generación: en una propuesta mensual el paciente se excluye solo en los días dentro del rango de reposo y vuelve a ser candidato tras su término.</t>
        </is>
      </c>
      <c r="G262" s="2" t="inlineStr">
        <is>
          <t>Web/API</t>
        </is>
      </c>
      <c r="H262" s="2" t="inlineStr">
        <is>
          <t>Usuario Administrativo autenticado; paciente RUT 9.876.543-3 con reposo del 01/08/2026 al 15/08/2026 y control con periodicidad que lo hace candidato durante todo el mes; propuesta generada el 25/07/2026 (antes del inicio del reposo).</t>
        </is>
      </c>
      <c r="I262" s="2" t="inlineStr">
        <is>
          <t>1. Navegar al módulo Agendamiento el 25/07/2026. 2. Seleccionar el profesional tratante. 3. Seleccionar el mes objetivo agosto 2026 completo. 4. Hacer clic en 'Generar propuesta mensual'. 5. Revisar en qué días del mes aparece el paciente.</t>
        </is>
      </c>
      <c r="J262" s="2" t="inlineStr">
        <is>
          <t>El paciente no es propuesto en ningún día entre el 01/08/2026 y el 15/08/2026 (con motivo 'reposo vigente hasta 15/08/2026') y sí aparece como candidato en días hábiles desde el 17/08/2026 en adelante: la exclusión se evalúa día a día contra la fecha candidata, no contra la fecha de generación.</t>
        </is>
      </c>
      <c r="K262" s="2" t="inlineStr"/>
      <c r="L262" s="2" t="inlineStr"/>
      <c r="M262" s="2" t="inlineStr">
        <is>
          <t>P1</t>
        </is>
      </c>
      <c r="N262" s="3" t="inlineStr">
        <is>
          <t>Critical</t>
        </is>
      </c>
      <c r="O262" s="2" t="inlineStr"/>
      <c r="P262" s="2" t="inlineStr"/>
      <c r="Q262" s="2" t="inlineStr">
        <is>
          <t>BR-5</t>
        </is>
      </c>
    </row>
    <row r="263">
      <c r="A263" s="2" t="inlineStr">
        <is>
          <t>EPIC-08</t>
        </is>
      </c>
      <c r="B263" s="2" t="inlineStr">
        <is>
          <t>TC-CEPA-080-014</t>
        </is>
      </c>
      <c r="C263" s="2" t="inlineStr">
        <is>
          <t>Business Rules</t>
        </is>
      </c>
      <c r="D263" s="2" t="inlineStr">
        <is>
          <t>Ventana de seguimiento de receta</t>
        </is>
      </c>
      <c r="E263" s="2" t="inlineStr">
        <is>
          <t>Motor de candidaturas por receta</t>
        </is>
      </c>
      <c r="F263" s="2" t="inlineStr">
        <is>
          <t>Verificar que la candidatura por 'receta reciente' se determina por la fecha de emisión/revisión dentro de la ventana de seguimiento parametrizable, y que las recetas ya gestionadas/cerradas o fuera de ventana no generan candidatura.</t>
        </is>
      </c>
      <c r="G263" s="2" t="inlineStr">
        <is>
          <t>Web/API</t>
        </is>
      </c>
      <c r="H263" s="2" t="inlineStr">
        <is>
          <t>Usuario Administrativo autenticado; ventana de seguimiento parametrizada en 7 días; paciente A con receta emitida hace 3 días (dentro de ventana, abierta); paciente B con receta emitida hace 20 días (fuera de ventana); paciente C con receta emitida hace 2 días pero en estado gestionada/cerrada; ninguno con otro criterio de inclusión ni reposo.</t>
        </is>
      </c>
      <c r="I263" s="2" t="inlineStr">
        <is>
          <t>1. Navegar al módulo Agendamiento. 2. Seleccionar el profesional tratante de los tres pacientes. 3. Seleccionar un día hábil objetivo. 4. Hacer clic en 'Generar propuesta diaria'. 5. Revisar qué pacientes aparecen como candidatos por receta.</t>
        </is>
      </c>
      <c r="J263" s="2" t="inlineStr">
        <is>
          <t>Solo el paciente A aparece como candidato con etiqueta 'seguimiento de receta'; el paciente B (receta fuera de la ventana de 7 días) y el paciente C (receta gestionada/cerrada) no generan candidatura.</t>
        </is>
      </c>
      <c r="K263" s="2" t="inlineStr"/>
      <c r="L263" s="2" t="inlineStr"/>
      <c r="M263" s="2" t="inlineStr">
        <is>
          <t>P1</t>
        </is>
      </c>
      <c r="N263" s="4" t="inlineStr">
        <is>
          <t>Major</t>
        </is>
      </c>
      <c r="O263" s="2" t="inlineStr"/>
      <c r="P263" s="2" t="inlineStr"/>
      <c r="Q263" s="2" t="inlineStr">
        <is>
          <t>BR-6</t>
        </is>
      </c>
    </row>
    <row r="264">
      <c r="A264" s="2" t="inlineStr">
        <is>
          <t>EPIC-08</t>
        </is>
      </c>
      <c r="B264" s="2" t="inlineStr">
        <is>
          <t>TC-CEPA-080-015</t>
        </is>
      </c>
      <c r="C264" s="2" t="inlineStr">
        <is>
          <t>Business Rules</t>
        </is>
      </c>
      <c r="D264" s="2" t="inlineStr">
        <is>
          <t>Cálculo de adherencia</t>
        </is>
      </c>
      <c r="E264" s="2" t="inlineStr">
        <is>
          <t>Contador de adherencia del dashboard</t>
        </is>
      </c>
      <c r="F264" s="2" t="inlineStr">
        <is>
          <t>Verificar que cada cita agendada desde una propuesta confirmada incrementa el denominador 'citas agendadas' del % de adherencia y que la realización efectiva de la cita alimenta el numerador 'citas realizadas'.</t>
        </is>
      </c>
      <c r="G264" s="2" t="inlineStr">
        <is>
          <t>Web/API</t>
        </is>
      </c>
      <c r="H264" s="2" t="inlineStr">
        <is>
          <t>Usuario Administrativo autenticado; contadores del dashboard conocidos (ej. 10 agendadas / 8 realizadas = 80%); propuesta de agenda generada con al menos 2 candidatos.</t>
        </is>
      </c>
      <c r="I264" s="2" t="inlineStr">
        <is>
          <t>1. Confirmar 2 citas desde la propuesta. 2. Consultar el % de adherencia en el dashboard. 3. Registrar como 'realizada' 1 de las 2 citas confirmadas. 4. Consultar nuevamente el % de adherencia en el dashboard.</t>
        </is>
      </c>
      <c r="J264" s="2" t="inlineStr">
        <is>
          <t>Tras el paso 2 el denominador sube a 12 agendadas (8/12 = 66,7%); tras el paso 4 el numerador sube a 9 realizadas (9/12 = 75%): las confirmaciones alimentan el denominador y las realizaciones el numerador.</t>
        </is>
      </c>
      <c r="K264" s="2" t="inlineStr"/>
      <c r="L264" s="2" t="inlineStr"/>
      <c r="M264" s="2" t="inlineStr">
        <is>
          <t>P1</t>
        </is>
      </c>
      <c r="N264" s="4" t="inlineStr">
        <is>
          <t>Major</t>
        </is>
      </c>
      <c r="O264" s="2" t="inlineStr"/>
      <c r="P264" s="2" t="inlineStr"/>
      <c r="Q264" s="2" t="inlineStr">
        <is>
          <t>BR-8</t>
        </is>
      </c>
    </row>
    <row r="265">
      <c r="A265" s="2" t="inlineStr">
        <is>
          <t>EPIC-08</t>
        </is>
      </c>
      <c r="B265" s="2" t="inlineStr">
        <is>
          <t>TC-CEPA-080-016</t>
        </is>
      </c>
      <c r="C265" s="2" t="inlineStr">
        <is>
          <t>Business Rules</t>
        </is>
      </c>
      <c r="D265" s="2" t="inlineStr">
        <is>
          <t>Log de auditoría</t>
        </is>
      </c>
      <c r="E265" s="2" t="inlineStr">
        <is>
          <t>Log de auditoría</t>
        </is>
      </c>
      <c r="F265" s="2" t="inlineStr">
        <is>
          <t>Verificar que toda generación y confirmación de propuesta de agenda queda registrada en el log de auditoría con usuario, profesional/paciente afectado y fecha/hora.</t>
        </is>
      </c>
      <c r="G265" s="2" t="inlineStr">
        <is>
          <t>Web/API</t>
        </is>
      </c>
      <c r="H265" s="2" t="inlineStr">
        <is>
          <t>Usuario Administrativo (usuario 'aperez') autenticado; acceso de consulta al log de auditoría (perfil Coordinación o Auditor); profesional y candidatos disponibles.</t>
        </is>
      </c>
      <c r="I265" s="2" t="inlineStr">
        <is>
          <t>1. Iniciar sesión como 'aperez'. 2. Generar una propuesta diaria para el profesional 'Dra. Pérez'. 3. Confirmar 1 cita de la propuesta para el paciente RUT 12.345.678-5. 4. Navegar al log de auditoría. 5. Filtrar los eventos del módulo de agendamiento por usuario 'aperez' y fecha de hoy.</t>
        </is>
      </c>
      <c r="J265" s="2" t="inlineStr">
        <is>
          <t>El log de auditoría contiene un registro por la generación de la propuesta y otro por la confirmación de la cita, cada uno con quién (aperez), qué (profesional Dra. Pérez / paciente 12.345.678-5, acción generar/confirmar) y cuándo (fecha y hora del evento).</t>
        </is>
      </c>
      <c r="K265" s="2" t="inlineStr"/>
      <c r="L265" s="2" t="inlineStr"/>
      <c r="M265" s="2" t="inlineStr">
        <is>
          <t>P1</t>
        </is>
      </c>
      <c r="N265" s="4" t="inlineStr">
        <is>
          <t>Major</t>
        </is>
      </c>
      <c r="O265" s="2" t="inlineStr"/>
      <c r="P265" s="2" t="inlineStr"/>
      <c r="Q265" s="2" t="inlineStr">
        <is>
          <t>BR-9</t>
        </is>
      </c>
    </row>
    <row r="266">
      <c r="A266" s="2" t="inlineStr">
        <is>
          <t>EPIC-08</t>
        </is>
      </c>
      <c r="B266" s="2" t="inlineStr">
        <is>
          <t>TC-CEPA-080-017</t>
        </is>
      </c>
      <c r="C266" s="2" t="inlineStr">
        <is>
          <t>Performance</t>
        </is>
      </c>
      <c r="D266" s="2" t="inlineStr">
        <is>
          <t>Tiempo de respuesta</t>
        </is>
      </c>
      <c r="E266" s="2" t="inlineStr">
        <is>
          <t>Generador de propuestas de agenda</t>
        </is>
      </c>
      <c r="F266" s="2" t="inlineStr">
        <is>
          <t>Verificar que la generación de la propuesta mensual con volúmenes objetivo responde en menos de 2 segundos, excluyendo correctamente el reposo día a día.</t>
        </is>
      </c>
      <c r="G266" s="2" t="inlineStr">
        <is>
          <t>Web/API</t>
        </is>
      </c>
      <c r="H266" s="2" t="inlineStr">
        <is>
          <t>Base de datos poblada con volúmenes objetivo: 1.500+ licencias, 800+ ingresos, 500+ recetas/año y ~25 profesionales; usuario Administrativo autenticado; herramienta de medición de tiempo de respuesta disponible.</t>
        </is>
      </c>
      <c r="I266" s="2" t="inlineStr">
        <is>
          <t>1. Navegar al módulo Agendamiento. 2. Seleccionar un profesional con dataset completo asociado. 3. Seleccionar un mes objetivo completo. 4. Hacer clic en 'Generar propuesta mensual' midiendo el tiempo de respuesta. 5. Repetir la medición 5 veces y registrar los tiempos. 6. Revisar que los pacientes con reposo estén excluidos en los días correspondientes.</t>
        </is>
      </c>
      <c r="J266" s="2" t="inlineStr">
        <is>
          <t>La propuesta mensual se genera con tiempo de respuesta menor a 2 segundos (PRD §9 Rendimiento) en todas las mediciones, y la exclusión por reposo se aplica correctamente día a día en el resultado.</t>
        </is>
      </c>
      <c r="K266" s="2" t="inlineStr"/>
      <c r="L266" s="2" t="inlineStr"/>
      <c r="M266" s="2" t="inlineStr">
        <is>
          <t>P1</t>
        </is>
      </c>
      <c r="N266" s="5" t="inlineStr">
        <is>
          <t>Medium</t>
        </is>
      </c>
      <c r="O266" s="2" t="inlineStr"/>
      <c r="P266" s="2" t="inlineStr"/>
      <c r="Q266" s="2" t="inlineStr">
        <is>
          <t>TC-legacy</t>
        </is>
      </c>
    </row>
    <row r="267">
      <c r="A267" s="2" t="inlineStr">
        <is>
          <t>EPIC-09</t>
        </is>
      </c>
      <c r="B267" s="2" t="inlineStr">
        <is>
          <t>TC-CEPA-090-001</t>
        </is>
      </c>
      <c r="C267" s="2" t="inlineStr">
        <is>
          <t>Functional</t>
        </is>
      </c>
      <c r="D267" s="2" t="inlineStr">
        <is>
          <t>Indicadores agregados</t>
        </is>
      </c>
      <c r="E267" s="2" t="inlineStr">
        <is>
          <t>Dashboard de indicadores</t>
        </is>
      </c>
      <c r="F267" s="2" t="inlineStr">
        <is>
          <t>Verificar que al abrir el dashboard se muestran indicadores agregados de todos los programas (atenciones, inasistencias, carga por profesional, cumplimiento de convenios) en tiempo real, sin procesamiento manual previo.</t>
        </is>
      </c>
      <c r="G267" s="2" t="inlineStr">
        <is>
          <t>Web</t>
        </is>
      </c>
      <c r="H267" s="2" t="inlineStr">
        <is>
          <t>Usuario Coordinación autenticado; datos de al menos 3 programas distintos cargados en el sistema (atenciones, inasistencias, casos asignados, convenios activos)</t>
        </is>
      </c>
      <c r="I267" s="2" t="inlineStr">
        <is>
          <t>1. Iniciar sesión con perfil Coordinación. 2. Navegar al módulo Dashboard. 3. Esperar la carga de la vista sin aplicar ningún filtro. 4. Revisar los widgets de atenciones, inasistencias, carga por profesional y cumplimiento de convenios</t>
        </is>
      </c>
      <c r="J267" s="2" t="inlineStr">
        <is>
          <t>El dashboard muestra indicadores agregados que consolidan todos los programas (no un solo programa), calculados sobre los datos vigentes de la fuente única de verdad, sin requerir ningún procesamiento manual previo.</t>
        </is>
      </c>
      <c r="K267" s="2" t="inlineStr"/>
      <c r="L267" s="2" t="inlineStr"/>
      <c r="M267" s="2" t="inlineStr">
        <is>
          <t>P0</t>
        </is>
      </c>
      <c r="N267" s="3" t="inlineStr">
        <is>
          <t>Critical</t>
        </is>
      </c>
      <c r="O267" s="2" t="inlineStr"/>
      <c r="P267" s="2" t="inlineStr"/>
      <c r="Q267" s="2" t="inlineStr">
        <is>
          <t>S1</t>
        </is>
      </c>
    </row>
    <row r="268">
      <c r="A268" s="2" t="inlineStr">
        <is>
          <t>EPIC-09</t>
        </is>
      </c>
      <c r="B268" s="2" t="inlineStr">
        <is>
          <t>TC-CEPA-090-002</t>
        </is>
      </c>
      <c r="C268" s="2" t="inlineStr">
        <is>
          <t>Functional</t>
        </is>
      </c>
      <c r="D268" s="2" t="inlineStr">
        <is>
          <t>Filtros combinados</t>
        </is>
      </c>
      <c r="E268" s="2" t="inlineStr">
        <is>
          <t>Motor de filtros del dashboard</t>
        </is>
      </c>
      <c r="F268" s="2" t="inlineStr">
        <is>
          <t>Verificar que al aplicar filtros combinados (temporal, programa, tramo etario, sexo, etc.) todos los indicadores y gráficos se recalculan de forma coherente al recorte seleccionado.</t>
        </is>
      </c>
      <c r="G268" s="2" t="inlineStr">
        <is>
          <t>Web</t>
        </is>
      </c>
      <c r="H268" s="2" t="inlineStr">
        <is>
          <t>Usuario Coordinación autenticado; dashboard abierto con datos de múltiples programas, tramos etarios y sexos</t>
        </is>
      </c>
      <c r="I268" s="2" t="inlineStr">
        <is>
          <t>1. Abrir el dashboard. 2. Aplicar filtro de programa = 'Programa A'. 3. Agregar filtro tramo etario = '18-29'. 4. Agregar filtro sexo = 'F'. 5. Agregar filtro temporal = mensual, mes actual (junio 2026). 6. Confirmar la selección de filtros. 7. Revisar cada widget e indicador del dashboard</t>
        </is>
      </c>
      <c r="J268" s="2" t="inlineStr">
        <is>
          <t>Todos los indicadores y gráficos se recalculan mostrando únicamente los datos del recorte (Programa A, 18-29, F, mes actual); los filtros se combinan con lógica AND y todos los widgets son coherentes entre sí para el mismo recorte.</t>
        </is>
      </c>
      <c r="K268" s="2" t="inlineStr"/>
      <c r="L268" s="2" t="inlineStr"/>
      <c r="M268" s="2" t="inlineStr">
        <is>
          <t>P0</t>
        </is>
      </c>
      <c r="N268" s="3" t="inlineStr">
        <is>
          <t>Critical</t>
        </is>
      </c>
      <c r="O268" s="2" t="inlineStr"/>
      <c r="P268" s="2" t="inlineStr"/>
      <c r="Q268" s="2" t="inlineStr">
        <is>
          <t>S1</t>
        </is>
      </c>
    </row>
    <row r="269">
      <c r="A269" s="2" t="inlineStr">
        <is>
          <t>EPIC-09</t>
        </is>
      </c>
      <c r="B269" s="2" t="inlineStr">
        <is>
          <t>TC-CEPA-090-003</t>
        </is>
      </c>
      <c r="C269" s="2" t="inlineStr">
        <is>
          <t>Performance</t>
        </is>
      </c>
      <c r="D269" s="2" t="inlineStr">
        <is>
          <t>Objetivo OU3 &lt;10 s</t>
        </is>
      </c>
      <c r="E269" s="2" t="inlineStr">
        <is>
          <t>Motor de agregaciones del dashboard</t>
        </is>
      </c>
      <c r="F269" s="2" t="inlineStr">
        <is>
          <t>Verificar que la carga y el filtrado del dashboard sobre volumen de producción se completan en menos de 10 segundos (objetivo OU3).</t>
        </is>
      </c>
      <c r="G269" s="2" t="inlineStr">
        <is>
          <t>Web/API</t>
        </is>
      </c>
      <c r="H269" s="2" t="inlineStr">
        <is>
          <t>Ambiente con volumen representativo de producción (~3.000 registros de casos/atenciones); usuario Coordinación autenticado; herramienta de medición de tiempos disponible</t>
        </is>
      </c>
      <c r="I269" s="2" t="inlineStr">
        <is>
          <t>1. Abrir el dashboard y medir el tiempo desde la solicitud hasta la presentación completa de indicadores. 2. Aplicar una combinación de filtros (programa + temporal mensual + profesional) y medir el tiempo de recálculo. 3. Repetir la medición 3 veces y registrar los tiempos</t>
        </is>
      </c>
      <c r="J269" s="2" t="inlineStr">
        <is>
          <t>Tanto la carga inicial como cada recálculo por filtros se presentan en menos de 10 segundos en todas las mediciones (objetivo OU3).</t>
        </is>
      </c>
      <c r="K269" s="2" t="inlineStr"/>
      <c r="L269" s="2" t="inlineStr"/>
      <c r="M269" s="2" t="inlineStr">
        <is>
          <t>P0</t>
        </is>
      </c>
      <c r="N269" s="4" t="inlineStr">
        <is>
          <t>Major</t>
        </is>
      </c>
      <c r="O269" s="2" t="inlineStr"/>
      <c r="P269" s="2" t="inlineStr"/>
      <c r="Q269" s="2" t="inlineStr">
        <is>
          <t>S2</t>
        </is>
      </c>
    </row>
    <row r="270">
      <c r="A270" s="2" t="inlineStr">
        <is>
          <t>EPIC-09</t>
        </is>
      </c>
      <c r="B270" s="2" t="inlineStr">
        <is>
          <t>TC-CEPA-090-004</t>
        </is>
      </c>
      <c r="C270" s="2" t="inlineStr">
        <is>
          <t>Security</t>
        </is>
      </c>
      <c r="D270" s="2" t="inlineStr">
        <is>
          <t>RBAC</t>
        </is>
      </c>
      <c r="E270" s="2" t="inlineStr">
        <is>
          <t>Control de acceso del dashboard</t>
        </is>
      </c>
      <c r="F270" s="2" t="inlineStr">
        <is>
          <t>Verificar que los perfiles Administrativo y Auditor acceden al dashboard en solo lectura, sin configuración del dashboard ni edición de datos.</t>
        </is>
      </c>
      <c r="G270" s="2" t="inlineStr">
        <is>
          <t>Web</t>
        </is>
      </c>
      <c r="H270" s="2" t="inlineStr">
        <is>
          <t>Usuarios de prueba con perfiles Administrativo y Auditor creados; dashboard con datos cargados</t>
        </is>
      </c>
      <c r="I270" s="2" t="inlineStr">
        <is>
          <t>1. Iniciar sesión con perfil Auditor. 2. Navegar al dashboard. 3. Intentar acceder a la configuración del dashboard y a cualquier acción de edición de datos. 4. Cerrar sesión e iniciar con perfil Administrativo. 5. Repetir los pasos 2 y 3</t>
        </is>
      </c>
      <c r="J270" s="2" t="inlineStr">
        <is>
          <t>Ambos perfiles visualizan los indicadores correctamente; las opciones de configuración del dashboard y de edición de datos no están disponibles o son denegadas (HTTP 403 a nivel de API); solo Coordinación dispone de acceso total y configuración.</t>
        </is>
      </c>
      <c r="K270" s="2" t="inlineStr"/>
      <c r="L270" s="2" t="inlineStr"/>
      <c r="M270" s="2" t="inlineStr">
        <is>
          <t>P0</t>
        </is>
      </c>
      <c r="N270" s="3" t="inlineStr">
        <is>
          <t>Critical</t>
        </is>
      </c>
      <c r="O270" s="2" t="inlineStr"/>
      <c r="P270" s="2" t="inlineStr"/>
      <c r="Q270" s="2" t="inlineStr">
        <is>
          <t>S3</t>
        </is>
      </c>
    </row>
    <row r="271">
      <c r="A271" s="2" t="inlineStr">
        <is>
          <t>EPIC-09</t>
        </is>
      </c>
      <c r="B271" s="2" t="inlineStr">
        <is>
          <t>TC-CEPA-090-005</t>
        </is>
      </c>
      <c r="C271" s="2" t="inlineStr">
        <is>
          <t>Business Rules</t>
        </is>
      </c>
      <c r="D271" s="2" t="inlineStr">
        <is>
          <t>QA de métricas</t>
        </is>
      </c>
      <c r="E271" s="2" t="inlineStr">
        <is>
          <t>Proceso de validación de métricas</t>
        </is>
      </c>
      <c r="F271" s="2" t="inlineStr">
        <is>
          <t>Verificar que cada métrica publicada en el dashboard cuenta con QA de métricas aprobado (validación de resultado y de proceso, persona vs. programador) antes de su publicación.</t>
        </is>
      </c>
      <c r="G271" s="2" t="inlineStr">
        <is>
          <t>Web</t>
        </is>
      </c>
      <c r="H271" s="2" t="inlineStr">
        <is>
          <t>Listado de métricas del dashboard disponible; registros de validación de QA de métricas (resultado y proceso) accesibles; una métrica candidata sin validación completada</t>
        </is>
      </c>
      <c r="I271" s="2" t="inlineStr">
        <is>
          <t>1. Obtener el listado de métricas visibles en el dashboard. 2. Para cada métrica publicada, revisar su evidencia de validación de resultado (cifra verificada contra cálculo manual/planilla) y de proceso (revisión persona vs. programador). 3. Intentar publicar en el dashboard una métrica candidata sin validación completada</t>
        </is>
      </c>
      <c r="J271" s="2" t="inlineStr">
        <is>
          <t>Todas las métricas publicadas tienen validación de resultado y de proceso registrada; la métrica sin validación no puede publicarse en el dashboard (queda bloqueada o marcada como no publicable).</t>
        </is>
      </c>
      <c r="K271" s="2" t="inlineStr"/>
      <c r="L271" s="2" t="inlineStr"/>
      <c r="M271" s="2" t="inlineStr">
        <is>
          <t>P0</t>
        </is>
      </c>
      <c r="N271" s="4" t="inlineStr">
        <is>
          <t>Major</t>
        </is>
      </c>
      <c r="O271" s="2" t="inlineStr"/>
      <c r="P271" s="2" t="inlineStr"/>
      <c r="Q271" s="2" t="inlineStr">
        <is>
          <t>BR-7</t>
        </is>
      </c>
    </row>
    <row r="272">
      <c r="A272" s="2" t="inlineStr">
        <is>
          <t>EPIC-09</t>
        </is>
      </c>
      <c r="B272" s="2" t="inlineStr">
        <is>
          <t>TC-CEPA-090-006</t>
        </is>
      </c>
      <c r="C272" s="2" t="inlineStr">
        <is>
          <t>Functional</t>
        </is>
      </c>
      <c r="D272" s="2" t="inlineStr">
        <is>
          <t>Estado vacío</t>
        </is>
      </c>
      <c r="E272" s="2" t="inlineStr">
        <is>
          <t>Motor de filtros del dashboard</t>
        </is>
      </c>
      <c r="F272" s="2" t="inlineStr">
        <is>
          <t>Verificar que una combinación de filtros sin coincidencias muestra un estado vacío explícito, sin errores ni cifras erróneas.</t>
        </is>
      </c>
      <c r="G272" s="2" t="inlineStr">
        <is>
          <t>Web</t>
        </is>
      </c>
      <c r="H272" s="2" t="inlineStr">
        <is>
          <t>Usuario Coordinación autenticado; dashboard abierto; existe al menos una comuna sin casos registrados</t>
        </is>
      </c>
      <c r="I272" s="2" t="inlineStr">
        <is>
          <t>1. Abrir el dashboard. 2. Aplicar filtro de zona geográfica con una comuna sin casos (ej. comuna 'Vichuquén' sin registros). 3. Confirmar la selección. 4. Revisar todos los widgets del dashboard</t>
        </is>
      </c>
      <c r="J272" s="2" t="inlineStr">
        <is>
          <t>El dashboard presenta un estado vacío explícito (indicadores en cero o mensaje 'sin datos para el recorte seleccionado'), sin errores de sistema ni cifras residuales del recorte anterior.</t>
        </is>
      </c>
      <c r="K272" s="2" t="inlineStr"/>
      <c r="L272" s="2" t="inlineStr"/>
      <c r="M272" s="2" t="inlineStr">
        <is>
          <t>P0</t>
        </is>
      </c>
      <c r="N272" s="5" t="inlineStr">
        <is>
          <t>Medium</t>
        </is>
      </c>
      <c r="O272" s="2" t="inlineStr"/>
      <c r="P272" s="2" t="inlineStr"/>
      <c r="Q272" s="2" t="inlineStr">
        <is>
          <t>TC-legacy</t>
        </is>
      </c>
    </row>
    <row r="273">
      <c r="A273" s="2" t="inlineStr">
        <is>
          <t>EPIC-09</t>
        </is>
      </c>
      <c r="B273" s="2" t="inlineStr">
        <is>
          <t>TC-CEPA-091-001</t>
        </is>
      </c>
      <c r="C273" s="2" t="inlineStr">
        <is>
          <t>Functional</t>
        </is>
      </c>
      <c r="D273" s="2" t="inlineStr">
        <is>
          <t>Generación de reporte operativo</t>
        </is>
      </c>
      <c r="E273" s="2" t="inlineStr">
        <is>
          <t>Generador de reportes operativos</t>
        </is>
      </c>
      <c r="F273" s="2" t="inlineStr">
        <is>
          <t>Verificar que el reporte operativo genera las cifras de citas, atenciones, inasistencias y anulaciones para el período y filtros definidos.</t>
        </is>
      </c>
      <c r="G273" s="2" t="inlineStr">
        <is>
          <t>Web</t>
        </is>
      </c>
      <c r="H273" s="2" t="inlineStr">
        <is>
          <t>Usuario Coordinación autenticado; datos de citas del mes actual con estados realizada, inasistencia y anulación registrados</t>
        </is>
      </c>
      <c r="I273" s="2" t="inlineStr">
        <is>
          <t>1. Navegar al módulo de Reportes. 2. Seleccionar el reporte operativo. 3. Definir período = mes actual (01-06-2026 al 30-06-2026). 4. Aplicar filtro opcional de programa. 5. Hacer clic en 'Generar'</t>
        </is>
      </c>
      <c r="J273" s="2" t="inlineStr">
        <is>
          <t>El sistema produce el reporte con las cifras correctas de citas, atenciones, inasistencias y anulaciones para el recorte solicitado, coincidentes con los registros de origen.</t>
        </is>
      </c>
      <c r="K273" s="2" t="inlineStr"/>
      <c r="L273" s="2" t="inlineStr"/>
      <c r="M273" s="2" t="inlineStr">
        <is>
          <t>P0</t>
        </is>
      </c>
      <c r="N273" s="3" t="inlineStr">
        <is>
          <t>Critical</t>
        </is>
      </c>
      <c r="O273" s="2" t="inlineStr"/>
      <c r="P273" s="2" t="inlineStr"/>
      <c r="Q273" s="2" t="inlineStr">
        <is>
          <t>S1</t>
        </is>
      </c>
    </row>
    <row r="274">
      <c r="A274" s="2" t="inlineStr">
        <is>
          <t>EPIC-09</t>
        </is>
      </c>
      <c r="B274" s="2" t="inlineStr">
        <is>
          <t>TC-CEPA-091-002</t>
        </is>
      </c>
      <c r="C274" s="2" t="inlineStr">
        <is>
          <t>Functional</t>
        </is>
      </c>
      <c r="D274" s="2" t="inlineStr">
        <is>
          <t>Descarga de reporte</t>
        </is>
      </c>
      <c r="E274" s="2" t="inlineStr">
        <is>
          <t>Exportador de reportes</t>
        </is>
      </c>
      <c r="F274" s="2" t="inlineStr">
        <is>
          <t>Verificar que un reporte generado se descarga en formato estándar (Excel/CSV y PDF) con los mismos datos visibles en pantalla.</t>
        </is>
      </c>
      <c r="G274" s="2" t="inlineStr">
        <is>
          <t>Web</t>
        </is>
      </c>
      <c r="H274" s="2" t="inlineStr">
        <is>
          <t>Usuario Coordinación autenticado; reporte operativo del mes actual generado y visible en pantalla</t>
        </is>
      </c>
      <c r="I274" s="2" t="inlineStr">
        <is>
          <t>1. Con el reporte en pantalla, registrar las cifras mostradas (citas, atenciones, inasistencias, anulaciones). 2. Hacer clic en 'Descargar' y elegir formato Excel/CSV. 3. Abrir el archivo descargado y comparar sus cifras contra las registradas. 4. Repetir la descarga en formato PDF y comparar</t>
        </is>
      </c>
      <c r="J274" s="2" t="inlineStr">
        <is>
          <t>Ambos archivos se descargan correctamente, son válidos (abren sin error) y sus cifras coinciden exactamente con las mostradas en pantalla para el mismo recorte.</t>
        </is>
      </c>
      <c r="K274" s="2" t="inlineStr"/>
      <c r="L274" s="2" t="inlineStr"/>
      <c r="M274" s="2" t="inlineStr">
        <is>
          <t>P0</t>
        </is>
      </c>
      <c r="N274" s="3" t="inlineStr">
        <is>
          <t>Critical</t>
        </is>
      </c>
      <c r="O274" s="2" t="inlineStr"/>
      <c r="P274" s="2" t="inlineStr"/>
      <c r="Q274" s="2" t="inlineStr">
        <is>
          <t>S1</t>
        </is>
      </c>
    </row>
    <row r="275">
      <c r="A275" s="2" t="inlineStr">
        <is>
          <t>EPIC-09</t>
        </is>
      </c>
      <c r="B275" s="2" t="inlineStr">
        <is>
          <t>TC-CEPA-091-003</t>
        </is>
      </c>
      <c r="C275" s="2" t="inlineStr">
        <is>
          <t>Security</t>
        </is>
      </c>
      <c r="D275" s="2" t="inlineStr">
        <is>
          <t>RBAC Auditor</t>
        </is>
      </c>
      <c r="E275" s="2" t="inlineStr">
        <is>
          <t>Control de acceso de reportes</t>
        </is>
      </c>
      <c r="F275" s="2" t="inlineStr">
        <is>
          <t>Verificar que el perfil Auditor puede generar y descargar reportes operativos en solo lectura, sin alterar datos de origen.</t>
        </is>
      </c>
      <c r="G275" s="2" t="inlineStr">
        <is>
          <t>Web/API</t>
        </is>
      </c>
      <c r="H275" s="2" t="inlineStr">
        <is>
          <t>Usuario Auditor autenticado; datos de citas del período disponibles</t>
        </is>
      </c>
      <c r="I275" s="2" t="inlineStr">
        <is>
          <t>1. Iniciar sesión con perfil Auditor. 2. Navegar al módulo de Reportes y seleccionar el reporte operativo. 3. Definir período = mes actual y generar. 4. Descargar el reporte en Excel/CSV. 5. Verificar en la base/módulos de origen que los registros de citas y atenciones no sufrieron modificaciones. 6. Intentar cualquier acción de edición de datos desde la vista de reportes</t>
        </is>
      </c>
      <c r="J275" s="2" t="inlineStr">
        <is>
          <t>El Auditor genera y descarga el reporte correctamente; los datos de origen permanecen intactos; toda acción de edición está deshabilitada o es denegada.</t>
        </is>
      </c>
      <c r="K275" s="2" t="inlineStr"/>
      <c r="L275" s="2" t="inlineStr"/>
      <c r="M275" s="2" t="inlineStr">
        <is>
          <t>P0</t>
        </is>
      </c>
      <c r="N275" s="3" t="inlineStr">
        <is>
          <t>Critical</t>
        </is>
      </c>
      <c r="O275" s="2" t="inlineStr"/>
      <c r="P275" s="2" t="inlineStr"/>
      <c r="Q275" s="2" t="inlineStr">
        <is>
          <t>S3</t>
        </is>
      </c>
    </row>
    <row r="276">
      <c r="A276" s="2" t="inlineStr">
        <is>
          <t>EPIC-09</t>
        </is>
      </c>
      <c r="B276" s="2" t="inlineStr">
        <is>
          <t>TC-CEPA-091-004</t>
        </is>
      </c>
      <c r="C276" s="2" t="inlineStr">
        <is>
          <t>Business Rules</t>
        </is>
      </c>
      <c r="D276" s="2" t="inlineStr">
        <is>
          <t>Trazabilidad de auditoría</t>
        </is>
      </c>
      <c r="E276" s="2" t="inlineStr">
        <is>
          <t>Log de auditoría</t>
        </is>
      </c>
      <c r="F276" s="2" t="inlineStr">
        <is>
          <t>Verificar que la generación de un reporte operativo queda registrada en el log de auditoría con usuario, tipo de reporte y fecha/hora.</t>
        </is>
      </c>
      <c r="G276" s="2" t="inlineStr">
        <is>
          <t>Web/API</t>
        </is>
      </c>
      <c r="H276" s="2" t="inlineStr">
        <is>
          <t>Usuario Coordinación autenticado; acceso de consulta al log de auditoría</t>
        </is>
      </c>
      <c r="I276" s="2" t="inlineStr">
        <is>
          <t>1. Generar un reporte operativo con período = mes actual. 2. Registrar fecha/hora de la generación. 3. Consultar el log de auditoría del sistema. 4. Buscar el evento correspondiente a la generación del reporte</t>
        </is>
      </c>
      <c r="J276" s="2" t="inlineStr">
        <is>
          <t>El log de auditoría contiene un evento con el usuario que generó el reporte, el tipo de reporte generado y la fecha/hora, consistente con la acción ejecutada (OI1 trazabilidad).</t>
        </is>
      </c>
      <c r="K276" s="2" t="inlineStr"/>
      <c r="L276" s="2" t="inlineStr"/>
      <c r="M276" s="2" t="inlineStr">
        <is>
          <t>P0</t>
        </is>
      </c>
      <c r="N276" s="4" t="inlineStr">
        <is>
          <t>Major</t>
        </is>
      </c>
      <c r="O276" s="2" t="inlineStr"/>
      <c r="P276" s="2" t="inlineStr"/>
      <c r="Q276" s="2" t="inlineStr">
        <is>
          <t>BR-5</t>
        </is>
      </c>
    </row>
    <row r="277">
      <c r="A277" s="2" t="inlineStr">
        <is>
          <t>EPIC-09</t>
        </is>
      </c>
      <c r="B277" s="2" t="inlineStr">
        <is>
          <t>TC-CEPA-091-005</t>
        </is>
      </c>
      <c r="C277" s="2" t="inlineStr">
        <is>
          <t>Functional</t>
        </is>
      </c>
      <c r="D277" s="2" t="inlineStr">
        <is>
          <t>Validación de período</t>
        </is>
      </c>
      <c r="E277" s="2" t="inlineStr">
        <is>
          <t>Generador de reportes operativos</t>
        </is>
      </c>
      <c r="F277" s="2" t="inlineStr">
        <is>
          <t>Verificar que al intentar generar el reporte operativo sin definir período el sistema muestra error de validación y no genera el reporte.</t>
        </is>
      </c>
      <c r="G277" s="2" t="inlineStr">
        <is>
          <t>Web</t>
        </is>
      </c>
      <c r="H277" s="2" t="inlineStr">
        <is>
          <t>Usuario Coordinación autenticado; módulo de Reportes accesible</t>
        </is>
      </c>
      <c r="I277" s="2" t="inlineStr">
        <is>
          <t>1. Navegar al módulo de Reportes. 2. Seleccionar el reporte operativo. 3. Dejar el campo período vacío. 4. Hacer clic en 'Generar'</t>
        </is>
      </c>
      <c r="J277" s="2" t="inlineStr">
        <is>
          <t>El sistema muestra un mensaje de validación indicando que el período es obligatorio y no genera ningún reporte.</t>
        </is>
      </c>
      <c r="K277" s="2" t="inlineStr"/>
      <c r="L277" s="2" t="inlineStr"/>
      <c r="M277" s="2" t="inlineStr">
        <is>
          <t>P0</t>
        </is>
      </c>
      <c r="N277" s="5" t="inlineStr">
        <is>
          <t>Medium</t>
        </is>
      </c>
      <c r="O277" s="2" t="inlineStr"/>
      <c r="P277" s="2" t="inlineStr"/>
      <c r="Q277" s="2" t="inlineStr">
        <is>
          <t>TC-legacy</t>
        </is>
      </c>
    </row>
    <row r="278">
      <c r="A278" s="2" t="inlineStr">
        <is>
          <t>EPIC-09</t>
        </is>
      </c>
      <c r="B278" s="2" t="inlineStr">
        <is>
          <t>TC-CEPA-091-006</t>
        </is>
      </c>
      <c r="C278" s="2" t="inlineStr">
        <is>
          <t>Functional</t>
        </is>
      </c>
      <c r="D278" s="2" t="inlineStr">
        <is>
          <t>Período sin actividad</t>
        </is>
      </c>
      <c r="E278" s="2" t="inlineStr">
        <is>
          <t>Generador de reportes operativos</t>
        </is>
      </c>
      <c r="F278" s="2" t="inlineStr">
        <is>
          <t>Verificar que el reporte operativo de un período sin actividad se genera con totales en cero, sin error.</t>
        </is>
      </c>
      <c r="G278" s="2" t="inlineStr">
        <is>
          <t>Web</t>
        </is>
      </c>
      <c r="H278" s="2" t="inlineStr">
        <is>
          <t>Usuario Coordinación autenticado; existe un mes histórico sin citas registradas (ej. enero 2024)</t>
        </is>
      </c>
      <c r="I278" s="2" t="inlineStr">
        <is>
          <t>1. Navegar al módulo de Reportes. 2. Seleccionar el reporte operativo. 3. Definir período = mes sin datos (01-01-2024 al 31-01-2024). 4. Hacer clic en 'Generar'</t>
        </is>
      </c>
      <c r="J278" s="2" t="inlineStr">
        <is>
          <t>El reporte se genera correctamente mostrando citas = 0, atenciones = 0, inasistencias = 0 y anulaciones = 0, sin errores de sistema.</t>
        </is>
      </c>
      <c r="K278" s="2" t="inlineStr"/>
      <c r="L278" s="2" t="inlineStr"/>
      <c r="M278" s="2" t="inlineStr">
        <is>
          <t>P0</t>
        </is>
      </c>
      <c r="N278" s="5" t="inlineStr">
        <is>
          <t>Medium</t>
        </is>
      </c>
      <c r="O278" s="2" t="inlineStr"/>
      <c r="P278" s="2" t="inlineStr"/>
      <c r="Q278" s="2" t="inlineStr">
        <is>
          <t>TC-legacy</t>
        </is>
      </c>
    </row>
    <row r="279">
      <c r="A279" s="2" t="inlineStr">
        <is>
          <t>EPIC-09</t>
        </is>
      </c>
      <c r="B279" s="2" t="inlineStr">
        <is>
          <t>TC-CEPA-091-007</t>
        </is>
      </c>
      <c r="C279" s="2" t="inlineStr">
        <is>
          <t>Security</t>
        </is>
      </c>
      <c r="D279" s="2" t="inlineStr">
        <is>
          <t>Acceso denegado</t>
        </is>
      </c>
      <c r="E279" s="2" t="inlineStr">
        <is>
          <t>Control de acceso de reportes</t>
        </is>
      </c>
      <c r="F279" s="2" t="inlineStr">
        <is>
          <t>Verificar que un usuario con perfil sin acceso a reportes no puede generar el reporte operativo.</t>
        </is>
      </c>
      <c r="G279" s="2" t="inlineStr">
        <is>
          <t>Web/API</t>
        </is>
      </c>
      <c r="H279" s="2" t="inlineStr">
        <is>
          <t>Usuario Administrativo sin asignación al módulo de reportes autenticado</t>
        </is>
      </c>
      <c r="I279" s="2" t="inlineStr">
        <is>
          <t>1. Iniciar sesión con el usuario sin permiso de reportes. 2. Intentar navegar al módulo de Reportes desde el menú y por URL directa. 3. Intentar generar el reporte operativo invocando el endpoint de la API con el token de este usuario</t>
        </is>
      </c>
      <c r="J279" s="2" t="inlineStr">
        <is>
          <t>El acceso es denegado en UI (opción no visible o bloqueada) y en API (HTTP 403); no se genera ningún reporte.</t>
        </is>
      </c>
      <c r="K279" s="2" t="inlineStr"/>
      <c r="L279" s="2" t="inlineStr"/>
      <c r="M279" s="2" t="inlineStr">
        <is>
          <t>P0</t>
        </is>
      </c>
      <c r="N279" s="3" t="inlineStr">
        <is>
          <t>Critical</t>
        </is>
      </c>
      <c r="O279" s="2" t="inlineStr"/>
      <c r="P279" s="2" t="inlineStr"/>
      <c r="Q279" s="2" t="inlineStr">
        <is>
          <t>TC-legacy</t>
        </is>
      </c>
    </row>
    <row r="280">
      <c r="A280" s="2" t="inlineStr">
        <is>
          <t>EPIC-09</t>
        </is>
      </c>
      <c r="B280" s="2" t="inlineStr">
        <is>
          <t>TC-CEPA-091-008</t>
        </is>
      </c>
      <c r="C280" s="2" t="inlineStr">
        <is>
          <t>Data Integrity</t>
        </is>
      </c>
      <c r="D280" s="2" t="inlineStr">
        <is>
          <t>Cobertura planilla original</t>
        </is>
      </c>
      <c r="E280" s="2" t="inlineStr">
        <is>
          <t>Generador de reportes operativos</t>
        </is>
      </c>
      <c r="F280" s="2" t="inlineStr">
        <is>
          <t>Verificar que los reportes operativos permiten reproducir la información que antes se obtenía manualmente de las 7 hojas de la planilla Excel CEPA (citas, atenciones, inasistencias, anulaciones y sus dimensiones asociadas).</t>
        </is>
      </c>
      <c r="G280" s="2" t="inlineStr">
        <is>
          <t>Web</t>
        </is>
      </c>
      <c r="H280" s="2" t="inlineStr">
        <is>
          <t>Usuario Coordinación autenticado; set de datos de prueba equivalente al contenido de la planilla Excel original (Anexo 4) cargado en el sistema; copia de la planilla original con cifras de referencia del mismo período</t>
        </is>
      </c>
      <c r="I280" s="2" t="inlineStr">
        <is>
          <t>1. Calcular manualmente sobre la planilla de referencia los totales de citas, atenciones, inasistencias y anulaciones del mes de prueba. 2. Generar el reporte operativo del mismo período en el sistema. 3. Comparar cada cifra del reporte contra el total calculado de la planilla. 4. Verificar que las dimensiones usadas en la planilla (programa, profesional, tipo de atención, estado de cita) están disponibles como filtros/columnas del reporte. 5. Verificar que los campos tipo lista (estado de cita: realizada/inasistencia/anulación; SI/NO) se presentan con valores de catálogo cerrado, sin valores libres</t>
        </is>
      </c>
      <c r="J280" s="2" t="inlineStr">
        <is>
          <t>Las cifras del reporte coinciden exactamente con las derivadas de la planilla original; todas las dimensiones de la planilla son reproducibles en el reporte; los valores tipo lista provienen de catálogos cerrados.</t>
        </is>
      </c>
      <c r="K280" s="2" t="inlineStr"/>
      <c r="L280" s="2" t="inlineStr"/>
      <c r="M280" s="2" t="inlineStr">
        <is>
          <t>P0</t>
        </is>
      </c>
      <c r="N280" s="3" t="inlineStr">
        <is>
          <t>Critical</t>
        </is>
      </c>
      <c r="O280" s="2" t="inlineStr"/>
      <c r="P280" s="2" t="inlineStr"/>
      <c r="Q280" s="2" t="inlineStr">
        <is>
          <t>PLANILLA</t>
        </is>
      </c>
    </row>
    <row r="281">
      <c r="A281" s="2" t="inlineStr">
        <is>
          <t>EPIC-09</t>
        </is>
      </c>
      <c r="B281" s="2" t="inlineStr">
        <is>
          <t>TC-CEPA-092-001</t>
        </is>
      </c>
      <c r="C281" s="2" t="inlineStr">
        <is>
          <t>Functional</t>
        </is>
      </c>
      <c r="D281" s="2" t="inlineStr">
        <is>
          <t>Generación con un clic</t>
        </is>
      </c>
      <c r="E281" s="2" t="inlineStr">
        <is>
          <t>Generador de reporte de convenio</t>
        </is>
      </c>
      <c r="F281" s="2" t="inlineStr">
        <is>
          <t>Verificar que al seleccionar convenio y período mensual el reporte de cumplimiento se genera con un clic, con los indicadores comprometidos del período.</t>
        </is>
      </c>
      <c r="G281" s="2" t="inlineStr">
        <is>
          <t>Web</t>
        </is>
      </c>
      <c r="H281" s="2" t="inlineStr">
        <is>
          <t>Usuario Coordinación autenticado; convenio ISL con actividad registrada en el mes actual</t>
        </is>
      </c>
      <c r="I281" s="2" t="inlineStr">
        <is>
          <t>1. Navegar al módulo de Reportes. 2. Seleccionar 'Reporte de cumplimiento por convenio'. 3. Seleccionar convenio = ISL. 4. Seleccionar período = mes actual (junio 2026). 5. Hacer clic una sola vez en 'Generar'</t>
        </is>
      </c>
      <c r="J281" s="2" t="inlineStr">
        <is>
          <t>El sistema produce el reporte de cumplimiento del convenio ISL con los indicadores comprometidos para el período, sin requerir pasos adicionales.</t>
        </is>
      </c>
      <c r="K281" s="2" t="inlineStr"/>
      <c r="L281" s="2" t="inlineStr"/>
      <c r="M281" s="2" t="inlineStr">
        <is>
          <t>P0</t>
        </is>
      </c>
      <c r="N281" s="3" t="inlineStr">
        <is>
          <t>Critical</t>
        </is>
      </c>
      <c r="O281" s="2" t="inlineStr"/>
      <c r="P281" s="2" t="inlineStr"/>
      <c r="Q281" s="2" t="inlineStr">
        <is>
          <t>S1</t>
        </is>
      </c>
    </row>
    <row r="282">
      <c r="A282" s="2" t="inlineStr">
        <is>
          <t>EPIC-09</t>
        </is>
      </c>
      <c r="B282" s="2" t="inlineStr">
        <is>
          <t>TC-CEPA-092-002</t>
        </is>
      </c>
      <c r="C282" s="2" t="inlineStr">
        <is>
          <t>Functional</t>
        </is>
      </c>
      <c r="D282" s="2" t="inlineStr">
        <is>
          <t>Filtros y descarga</t>
        </is>
      </c>
      <c r="E282" s="2" t="inlineStr">
        <is>
          <t>Generador de reporte de convenio</t>
        </is>
      </c>
      <c r="F282" s="2" t="inlineStr">
        <is>
          <t>Verificar que el reporte de convenio se acota con filtros por profesional, tipo de atención y programa, y permite su descarga en formato estándar.</t>
        </is>
      </c>
      <c r="G282" s="2" t="inlineStr">
        <is>
          <t>Web</t>
        </is>
      </c>
      <c r="H282" s="2" t="inlineStr">
        <is>
          <t>Usuario Coordinación autenticado; reporte de convenio ISL del mes actual generado; datos con varios profesionales, tipos de atención y programas</t>
        </is>
      </c>
      <c r="I282" s="2" t="inlineStr">
        <is>
          <t>1. Con el reporte generado, aplicar filtro profesional = 'Dra. María Pérez'. 2. Aplicar filtro tipo de atención = 'Telemedicina'. 3. Aplicar filtro programa = 'Programa A'. 4. Confirmar los filtros. 5. Hacer clic en 'Descargar' y elegir formato estándar (Excel/CSV o PDF)</t>
        </is>
      </c>
      <c r="J282" s="2" t="inlineStr">
        <is>
          <t>El reporte se restringe al recorte seleccionado (profesional, telemedicina, Programa A) y el archivo descargado es válido y contiene los datos del recorte, apto para entrega a la institución contraparte.</t>
        </is>
      </c>
      <c r="K282" s="2" t="inlineStr"/>
      <c r="L282" s="2" t="inlineStr"/>
      <c r="M282" s="2" t="inlineStr">
        <is>
          <t>P0</t>
        </is>
      </c>
      <c r="N282" s="3" t="inlineStr">
        <is>
          <t>Critical</t>
        </is>
      </c>
      <c r="O282" s="2" t="inlineStr"/>
      <c r="P282" s="2" t="inlineStr"/>
      <c r="Q282" s="2" t="inlineStr">
        <is>
          <t>S1</t>
        </is>
      </c>
    </row>
    <row r="283">
      <c r="A283" s="2" t="inlineStr">
        <is>
          <t>EPIC-09</t>
        </is>
      </c>
      <c r="B283" s="2" t="inlineStr">
        <is>
          <t>TC-CEPA-092-003</t>
        </is>
      </c>
      <c r="C283" s="2" t="inlineStr">
        <is>
          <t>Performance</t>
        </is>
      </c>
      <c r="D283" s="2" t="inlineStr">
        <is>
          <t>Objetivo OI2 &lt;5 min</t>
        </is>
      </c>
      <c r="E283" s="2" t="inlineStr">
        <is>
          <t>Generador de reporte de convenio</t>
        </is>
      </c>
      <c r="F283" s="2" t="inlineStr">
        <is>
          <t>Verificar que el reporte mensual de convenio sobre volúmenes de producción se genera en menos de 5 minutos (objetivo OI2).</t>
        </is>
      </c>
      <c r="G283" s="2" t="inlineStr">
        <is>
          <t>Web/API</t>
        </is>
      </c>
      <c r="H283" s="2" t="inlineStr">
        <is>
          <t>Ambiente con volumen representativo de producción; convenio con actividad de un mes completo; herramienta de medición de tiempos disponible</t>
        </is>
      </c>
      <c r="I283" s="2" t="inlineStr">
        <is>
          <t>1. Seleccionar convenio y período = mes completo con datos. 2. Iniciar cronómetro y hacer clic en 'Generar'. 3. Detener el cronómetro cuando el reporte esté disponible. 4. Repetir la medición 3 veces y registrar los tiempos</t>
        </is>
      </c>
      <c r="J283" s="2" t="inlineStr">
        <is>
          <t>El reporte mensual de convenio queda disponible en menos de 5 minutos en todas las mediciones (objetivo OI2, frente a los 2-3 días manuales actuales).</t>
        </is>
      </c>
      <c r="K283" s="2" t="inlineStr"/>
      <c r="L283" s="2" t="inlineStr"/>
      <c r="M283" s="2" t="inlineStr">
        <is>
          <t>P0</t>
        </is>
      </c>
      <c r="N283" s="4" t="inlineStr">
        <is>
          <t>Major</t>
        </is>
      </c>
      <c r="O283" s="2" t="inlineStr"/>
      <c r="P283" s="2" t="inlineStr"/>
      <c r="Q283" s="2" t="inlineStr">
        <is>
          <t>S2</t>
        </is>
      </c>
    </row>
    <row r="284">
      <c r="A284" s="2" t="inlineStr">
        <is>
          <t>EPIC-09</t>
        </is>
      </c>
      <c r="B284" s="2" t="inlineStr">
        <is>
          <t>TC-CEPA-092-004</t>
        </is>
      </c>
      <c r="C284" s="2" t="inlineStr">
        <is>
          <t>Data Integrity</t>
        </is>
      </c>
      <c r="D284" s="2" t="inlineStr">
        <is>
          <t>Catálogo de convenios (D4)</t>
        </is>
      </c>
      <c r="E284" s="2" t="inlineStr">
        <is>
          <t>Catálogo de tipos de convenio</t>
        </is>
      </c>
      <c r="F284" s="2" t="inlineStr">
        <is>
          <t>Verificar que el selector de convenio ofrece exactamente los tipos reales según D4 (DIEP, DIAT, PAPT a flujo AT, Reingreso FUMP, Reingreso SUSESO, Convenio U.Clínica, Proyecto, Particular, PAPT) sin incluir 'convenio SOCORRO'.</t>
        </is>
      </c>
      <c r="G284" s="2" t="inlineStr">
        <is>
          <t>Web</t>
        </is>
      </c>
      <c r="H284" s="2" t="inlineStr">
        <is>
          <t>Usuario Coordinación autenticado; módulo de reporte de convenio accesible</t>
        </is>
      </c>
      <c r="I284" s="2" t="inlineStr">
        <is>
          <t>1. Navegar al reporte de cumplimiento por convenio. 2. Desplegar el selector de tipo de convenio/derivación. 3. Registrar la lista completa de valores ofrecidos. 4. Buscar el valor 'SOCORRO' en el catálogo. 5. Intentar ingresar un tipo de convenio no listado como texto libre</t>
        </is>
      </c>
      <c r="J284" s="2" t="inlineStr">
        <is>
          <t>El catálogo contiene exactamente: DIEP, DIAT, PAPT a flujo AT, Reingreso FUMP, Reingreso SUSESO, Convenio U.Clínica, Proyecto, Particular, PAPT; 'convenio SOCORRO' no existe; el catálogo es cerrado (no admite valores libres).</t>
        </is>
      </c>
      <c r="K284" s="2" t="inlineStr"/>
      <c r="L284" s="2" t="inlineStr"/>
      <c r="M284" s="2" t="inlineStr">
        <is>
          <t>P0</t>
        </is>
      </c>
      <c r="N284" s="4" t="inlineStr">
        <is>
          <t>Major</t>
        </is>
      </c>
      <c r="O284" s="2" t="inlineStr"/>
      <c r="P284" s="2" t="inlineStr"/>
      <c r="Q284" s="2" t="inlineStr">
        <is>
          <t>BR-5</t>
        </is>
      </c>
    </row>
    <row r="285">
      <c r="A285" s="2" t="inlineStr">
        <is>
          <t>EPIC-09</t>
        </is>
      </c>
      <c r="B285" s="2" t="inlineStr">
        <is>
          <t>TC-CEPA-092-005</t>
        </is>
      </c>
      <c r="C285" s="2" t="inlineStr">
        <is>
          <t>Security</t>
        </is>
      </c>
      <c r="D285" s="2" t="inlineStr">
        <is>
          <t>RBAC</t>
        </is>
      </c>
      <c r="E285" s="2" t="inlineStr">
        <is>
          <t>Control de acceso de reporte de convenio</t>
        </is>
      </c>
      <c r="F285" s="2" t="inlineStr">
        <is>
          <t>Verificar que Coordinación genera el reporte de convenio, Auditor accede en solo lectura y un Administrativo sin asignación de convenios es denegado.</t>
        </is>
      </c>
      <c r="G285" s="2" t="inlineStr">
        <is>
          <t>Web/API</t>
        </is>
      </c>
      <c r="H285" s="2" t="inlineStr">
        <is>
          <t>Usuarios de prueba: Coordinación, Auditor y Administrativo sin asignación de convenios</t>
        </is>
      </c>
      <c r="I285" s="2" t="inlineStr">
        <is>
          <t>1. Iniciar sesión con Coordinación y generar el reporte de convenio ISL del mes actual. 2. Iniciar sesión con Auditor, abrir el reporte de convenio y verificar las acciones disponibles. 3. Iniciar sesión con el Administrativo sin asignación e intentar generar el reporte de convenio por UI y por API</t>
        </is>
      </c>
      <c r="J285" s="2" t="inlineStr">
        <is>
          <t>Coordinación genera el reporte correctamente; Auditor accede en solo lectura para verificación de cumplimiento (sin edición); el Administrativo sin asignación recibe acceso denegado (HTTP 403 en API).</t>
        </is>
      </c>
      <c r="K285" s="2" t="inlineStr"/>
      <c r="L285" s="2" t="inlineStr"/>
      <c r="M285" s="2" t="inlineStr">
        <is>
          <t>P0</t>
        </is>
      </c>
      <c r="N285" s="3" t="inlineStr">
        <is>
          <t>Critical</t>
        </is>
      </c>
      <c r="O285" s="2" t="inlineStr"/>
      <c r="P285" s="2" t="inlineStr"/>
      <c r="Q285" s="2" t="inlineStr">
        <is>
          <t>BR-6</t>
        </is>
      </c>
    </row>
    <row r="286">
      <c r="A286" s="2" t="inlineStr">
        <is>
          <t>EPIC-09</t>
        </is>
      </c>
      <c r="B286" s="2" t="inlineStr">
        <is>
          <t>TC-CEPA-092-006</t>
        </is>
      </c>
      <c r="C286" s="2" t="inlineStr">
        <is>
          <t>Business Rules</t>
        </is>
      </c>
      <c r="D286" s="2" t="inlineStr">
        <is>
          <t>Trazabilidad de auditoría</t>
        </is>
      </c>
      <c r="E286" s="2" t="inlineStr">
        <is>
          <t>Log de auditoría</t>
        </is>
      </c>
      <c r="F286" s="2" t="inlineStr">
        <is>
          <t>Verificar que la generación del reporte de convenio queda trazada en el log de auditoría.</t>
        </is>
      </c>
      <c r="G286" s="2" t="inlineStr">
        <is>
          <t>Web/API</t>
        </is>
      </c>
      <c r="H286" s="2" t="inlineStr">
        <is>
          <t>Usuario Coordinación autenticado; acceso de consulta al log de auditoría</t>
        </is>
      </c>
      <c r="I286" s="2" t="inlineStr">
        <is>
          <t>1. Generar el reporte de cumplimiento del convenio ISL para el mes actual. 2. Consultar el log de auditoría. 3. Buscar el evento de generación del reporte</t>
        </is>
      </c>
      <c r="J286" s="2" t="inlineStr">
        <is>
          <t>El log registra el evento con usuario, convenio, período y fecha/hora de la generación.</t>
        </is>
      </c>
      <c r="K286" s="2" t="inlineStr"/>
      <c r="L286" s="2" t="inlineStr"/>
      <c r="M286" s="2" t="inlineStr">
        <is>
          <t>P0</t>
        </is>
      </c>
      <c r="N286" s="4" t="inlineStr">
        <is>
          <t>Major</t>
        </is>
      </c>
      <c r="O286" s="2" t="inlineStr"/>
      <c r="P286" s="2" t="inlineStr"/>
      <c r="Q286" s="2" t="inlineStr">
        <is>
          <t>BR-7</t>
        </is>
      </c>
    </row>
    <row r="287">
      <c r="A287" s="2" t="inlineStr">
        <is>
          <t>EPIC-09</t>
        </is>
      </c>
      <c r="B287" s="2" t="inlineStr">
        <is>
          <t>TC-CEPA-092-007</t>
        </is>
      </c>
      <c r="C287" s="2" t="inlineStr">
        <is>
          <t>Functional</t>
        </is>
      </c>
      <c r="D287" s="2" t="inlineStr">
        <is>
          <t>Convenio sin actividad</t>
        </is>
      </c>
      <c r="E287" s="2" t="inlineStr">
        <is>
          <t>Generador de reporte de convenio</t>
        </is>
      </c>
      <c r="F287" s="2" t="inlineStr">
        <is>
          <t>Verificar que el reporte de un convenio sin actividad en el mes se genera válido con totales en cero.</t>
        </is>
      </c>
      <c r="G287" s="2" t="inlineStr">
        <is>
          <t>Web</t>
        </is>
      </c>
      <c r="H287" s="2" t="inlineStr">
        <is>
          <t>Usuario Coordinación autenticado; existe un convenio sin casos ni atenciones en el mes seleccionado</t>
        </is>
      </c>
      <c r="I287" s="2" t="inlineStr">
        <is>
          <t>1. Navegar al reporte de cumplimiento por convenio. 2. Seleccionar el convenio sin actividad. 3. Seleccionar período = mes sin casos. 4. Hacer clic en 'Generar'</t>
        </is>
      </c>
      <c r="J287" s="2" t="inlineStr">
        <is>
          <t>El reporte se genera válido, con todos los indicadores/totales en cero, sin errores de sistema.</t>
        </is>
      </c>
      <c r="K287" s="2" t="inlineStr"/>
      <c r="L287" s="2" t="inlineStr"/>
      <c r="M287" s="2" t="inlineStr">
        <is>
          <t>P0</t>
        </is>
      </c>
      <c r="N287" s="5" t="inlineStr">
        <is>
          <t>Medium</t>
        </is>
      </c>
      <c r="O287" s="2" t="inlineStr"/>
      <c r="P287" s="2" t="inlineStr"/>
      <c r="Q287" s="2" t="inlineStr">
        <is>
          <t>TC-legacy</t>
        </is>
      </c>
    </row>
    <row r="288">
      <c r="A288" s="2" t="inlineStr">
        <is>
          <t>EPIC-09</t>
        </is>
      </c>
      <c r="B288" s="2" t="inlineStr">
        <is>
          <t>TC-CEPA-093-001</t>
        </is>
      </c>
      <c r="C288" s="2" t="inlineStr">
        <is>
          <t>Functional</t>
        </is>
      </c>
      <c r="D288" s="2" t="inlineStr">
        <is>
          <t>Cálculo de carga</t>
        </is>
      </c>
      <c r="E288" s="2" t="inlineStr">
        <is>
          <t>Generador de reporte de carga laboral</t>
        </is>
      </c>
      <c r="F288" s="2" t="inlineStr">
        <is>
          <t>Verificar que el reporte de carga laboral muestra, por profesional (médico, psicólogo, EISTA), el volumen de casos/atenciones asignados en el período.</t>
        </is>
      </c>
      <c r="G288" s="2" t="inlineStr">
        <is>
          <t>Web</t>
        </is>
      </c>
      <c r="H288" s="2" t="inlineStr">
        <is>
          <t>Usuario Coordinación autenticado; casos/atenciones del mes actual asignados a varios profesionales de distintas especialidades (médico, psicólogo, EISTA)</t>
        </is>
      </c>
      <c r="I288" s="2" t="inlineStr">
        <is>
          <t>1. Navegar al módulo de Reportes. 2. Seleccionar 'Reporte de carga laboral por profesional'. 3. Definir período = mes actual (junio 2026). 4. Hacer clic en 'Generar'. 5. Comparar la carga mostrada por cada profesional contra los registros de origen</t>
        </is>
      </c>
      <c r="J288" s="2" t="inlineStr">
        <is>
          <t>El reporte lista cada profesional con el volumen de casos/atenciones asignados en el período; la carga se atribuye al profesional asignado en el registro (dato de referencia, no sesión de usuario) y coincide con los datos de origen.</t>
        </is>
      </c>
      <c r="K288" s="2" t="inlineStr"/>
      <c r="L288" s="2" t="inlineStr"/>
      <c r="M288" s="2" t="inlineStr">
        <is>
          <t>P0</t>
        </is>
      </c>
      <c r="N288" s="3" t="inlineStr">
        <is>
          <t>Critical</t>
        </is>
      </c>
      <c r="O288" s="2" t="inlineStr"/>
      <c r="P288" s="2" t="inlineStr"/>
      <c r="Q288" s="2" t="inlineStr">
        <is>
          <t>S1</t>
        </is>
      </c>
    </row>
    <row r="289">
      <c r="A289" s="2" t="inlineStr">
        <is>
          <t>EPIC-09</t>
        </is>
      </c>
      <c r="B289" s="2" t="inlineStr">
        <is>
          <t>TC-CEPA-093-002</t>
        </is>
      </c>
      <c r="C289" s="2" t="inlineStr">
        <is>
          <t>Functional</t>
        </is>
      </c>
      <c r="D289" s="2" t="inlineStr">
        <is>
          <t>Filtros y descarga</t>
        </is>
      </c>
      <c r="E289" s="2" t="inlineStr">
        <is>
          <t>Generador de reporte de carga laboral</t>
        </is>
      </c>
      <c r="F289" s="2" t="inlineStr">
        <is>
          <t>Verificar que al filtrar por especialidad, tipo de atención o programa el reporte recalcula la carga del recorte y permite descargarlo en formato estándar.</t>
        </is>
      </c>
      <c r="G289" s="2" t="inlineStr">
        <is>
          <t>Web</t>
        </is>
      </c>
      <c r="H289" s="2" t="inlineStr">
        <is>
          <t>Usuario Coordinación autenticado; reporte de carga laboral del mes actual generado; datos con médicos, psicólogos y EISTA</t>
        </is>
      </c>
      <c r="I289" s="2" t="inlineStr">
        <is>
          <t>1. Con el reporte generado, aplicar filtro especialidad = 'Psicólogo'. 2. Confirmar el filtro y revisar el listado. 3. Agregar filtro programa = 'Programa A' y confirmar. 4. Hacer clic en 'Descargar' en formato estándar (Excel/CSV)</t>
        </is>
      </c>
      <c r="J289" s="2" t="inlineStr">
        <is>
          <t>El reporte recalcula mostrando solo la carga de psicólogos del Programa A; el archivo descargado es válido y coincide con la vista.</t>
        </is>
      </c>
      <c r="K289" s="2" t="inlineStr"/>
      <c r="L289" s="2" t="inlineStr"/>
      <c r="M289" s="2" t="inlineStr">
        <is>
          <t>P0</t>
        </is>
      </c>
      <c r="N289" s="4" t="inlineStr">
        <is>
          <t>Major</t>
        </is>
      </c>
      <c r="O289" s="2" t="inlineStr"/>
      <c r="P289" s="2" t="inlineStr"/>
      <c r="Q289" s="2" t="inlineStr">
        <is>
          <t>S1</t>
        </is>
      </c>
    </row>
    <row r="290">
      <c r="A290" s="2" t="inlineStr">
        <is>
          <t>EPIC-09</t>
        </is>
      </c>
      <c r="B290" s="2" t="inlineStr">
        <is>
          <t>TC-CEPA-093-003</t>
        </is>
      </c>
      <c r="C290" s="2" t="inlineStr">
        <is>
          <t>Security</t>
        </is>
      </c>
      <c r="D290" s="2" t="inlineStr">
        <is>
          <t>RBAC Auditor</t>
        </is>
      </c>
      <c r="E290" s="2" t="inlineStr">
        <is>
          <t>Control de acceso de reportes</t>
        </is>
      </c>
      <c r="F290" s="2" t="inlineStr">
        <is>
          <t>Verificar que el perfil Auditor consulta el reporte de carga laboral en solo lectura.</t>
        </is>
      </c>
      <c r="G290" s="2" t="inlineStr">
        <is>
          <t>Web/API</t>
        </is>
      </c>
      <c r="H290" s="2" t="inlineStr">
        <is>
          <t>Usuario Auditor autenticado; datos de carga laboral del período disponibles</t>
        </is>
      </c>
      <c r="I290" s="2" t="inlineStr">
        <is>
          <t>1. Iniciar sesión con perfil Auditor. 2. Abrir el reporte de carga laboral por profesional para el mes actual. 3. Intentar cualquier acción de edición o reasignación desde la vista del reporte</t>
        </is>
      </c>
      <c r="J290" s="2" t="inlineStr">
        <is>
          <t>El Auditor visualiza (y en su caso descarga) el reporte en solo lectura; toda acción de edición/reasignación está deshabilitada o es denegada.</t>
        </is>
      </c>
      <c r="K290" s="2" t="inlineStr"/>
      <c r="L290" s="2" t="inlineStr"/>
      <c r="M290" s="2" t="inlineStr">
        <is>
          <t>P0</t>
        </is>
      </c>
      <c r="N290" s="3" t="inlineStr">
        <is>
          <t>Critical</t>
        </is>
      </c>
      <c r="O290" s="2" t="inlineStr"/>
      <c r="P290" s="2" t="inlineStr"/>
      <c r="Q290" s="2" t="inlineStr">
        <is>
          <t>S3</t>
        </is>
      </c>
    </row>
    <row r="291">
      <c r="A291" s="2" t="inlineStr">
        <is>
          <t>EPIC-09</t>
        </is>
      </c>
      <c r="B291" s="2" t="inlineStr">
        <is>
          <t>TC-CEPA-093-004</t>
        </is>
      </c>
      <c r="C291" s="2" t="inlineStr">
        <is>
          <t>Business Rules</t>
        </is>
      </c>
      <c r="D291" s="2" t="inlineStr">
        <is>
          <t>QA de métricas</t>
        </is>
      </c>
      <c r="E291" s="2" t="inlineStr">
        <is>
          <t>Proceso de validación de métricas</t>
        </is>
      </c>
      <c r="F291" s="2" t="inlineStr">
        <is>
          <t>Verificar que la métrica de carga laboral cuenta con QA de métricas aprobado (validación de resultado y de proceso — D5) antes de publicarse.</t>
        </is>
      </c>
      <c r="G291" s="2" t="inlineStr">
        <is>
          <t>Web</t>
        </is>
      </c>
      <c r="H291" s="2" t="inlineStr">
        <is>
          <t>Métrica de carga laboral implementada; set de datos de control con carga conocida por profesional; registros de validación de QA de métricas accesibles</t>
        </is>
      </c>
      <c r="I291" s="2" t="inlineStr">
        <is>
          <t>1. Cargar el set de control con carga conocida (ej. Dra. Pérez = 12 casos, Psic. Soto = 8 casos). 2. Generar el reporte de carga y comparar contra los valores esperados (validación de resultado). 3. Revisar la evidencia de validación de proceso (revisión persona vs. programador) asociada a la métrica. 4. Verificar el estado de publicación de la métrica</t>
        </is>
      </c>
      <c r="J291" s="2" t="inlineStr">
        <is>
          <t>La métrica reproduce exactamente los valores del set de control; existe evidencia de validación de resultado y de proceso con responsable asignado; la métrica solo se publica con la validación completada.</t>
        </is>
      </c>
      <c r="K291" s="2" t="inlineStr"/>
      <c r="L291" s="2" t="inlineStr"/>
      <c r="M291" s="2" t="inlineStr">
        <is>
          <t>P0</t>
        </is>
      </c>
      <c r="N291" s="4" t="inlineStr">
        <is>
          <t>Major</t>
        </is>
      </c>
      <c r="O291" s="2" t="inlineStr"/>
      <c r="P291" s="2" t="inlineStr"/>
      <c r="Q291" s="2" t="inlineStr">
        <is>
          <t>BR-6</t>
        </is>
      </c>
    </row>
    <row r="292">
      <c r="A292" s="2" t="inlineStr">
        <is>
          <t>EPIC-09</t>
        </is>
      </c>
      <c r="B292" s="2" t="inlineStr">
        <is>
          <t>TC-CEPA-093-005</t>
        </is>
      </c>
      <c r="C292" s="2" t="inlineStr">
        <is>
          <t>Functional</t>
        </is>
      </c>
      <c r="D292" s="2" t="inlineStr">
        <is>
          <t>Carga cero</t>
        </is>
      </c>
      <c r="E292" s="2" t="inlineStr">
        <is>
          <t>Generador de reporte de carga laboral</t>
        </is>
      </c>
      <c r="F292" s="2" t="inlineStr">
        <is>
          <t>Verificar que un profesional sin casos en el período aparece listado con carga cero.</t>
        </is>
      </c>
      <c r="G292" s="2" t="inlineStr">
        <is>
          <t>Web</t>
        </is>
      </c>
      <c r="H292" s="2" t="inlineStr">
        <is>
          <t>Usuario Coordinación autenticado; existe un profesional activo sin asignaciones en el mes seleccionado</t>
        </is>
      </c>
      <c r="I292" s="2" t="inlineStr">
        <is>
          <t>1. Navegar al reporte de carga laboral. 2. Definir período = mes actual. 3. Hacer clic en 'Generar'. 4. Buscar en el listado al profesional sin asignaciones</t>
        </is>
      </c>
      <c r="J292" s="2" t="inlineStr">
        <is>
          <t>El profesional sin casos aparece en el listado con carga = 0 (no se omite del reporte), sin errores.</t>
        </is>
      </c>
      <c r="K292" s="2" t="inlineStr"/>
      <c r="L292" s="2" t="inlineStr"/>
      <c r="M292" s="2" t="inlineStr">
        <is>
          <t>P0</t>
        </is>
      </c>
      <c r="N292" s="5" t="inlineStr">
        <is>
          <t>Medium</t>
        </is>
      </c>
      <c r="O292" s="2" t="inlineStr"/>
      <c r="P292" s="2" t="inlineStr"/>
      <c r="Q292" s="2" t="inlineStr">
        <is>
          <t>TC-legacy</t>
        </is>
      </c>
    </row>
    <row r="293">
      <c r="A293" s="2" t="inlineStr">
        <is>
          <t>EPIC-09</t>
        </is>
      </c>
      <c r="B293" s="2" t="inlineStr">
        <is>
          <t>TC-CEPA-093-006</t>
        </is>
      </c>
      <c r="C293" s="2" t="inlineStr">
        <is>
          <t>Functional</t>
        </is>
      </c>
      <c r="D293" s="2" t="inlineStr">
        <is>
          <t>Validación de período</t>
        </is>
      </c>
      <c r="E293" s="2" t="inlineStr">
        <is>
          <t>Generador de reporte de carga laboral</t>
        </is>
      </c>
      <c r="F293" s="2" t="inlineStr">
        <is>
          <t>Verificar que generar el reporte de carga laboral sin período produce error de validación.</t>
        </is>
      </c>
      <c r="G293" s="2" t="inlineStr">
        <is>
          <t>Web</t>
        </is>
      </c>
      <c r="H293" s="2" t="inlineStr">
        <is>
          <t>Usuario Coordinación autenticado; módulo de Reportes accesible</t>
        </is>
      </c>
      <c r="I293" s="2" t="inlineStr">
        <is>
          <t>1. Navegar al reporte de carga laboral. 2. Dejar el campo período vacío. 3. Hacer clic en 'Generar'</t>
        </is>
      </c>
      <c r="J293" s="2" t="inlineStr">
        <is>
          <t>El sistema muestra un error de validación indicando que el período es obligatorio y no genera el reporte.</t>
        </is>
      </c>
      <c r="K293" s="2" t="inlineStr"/>
      <c r="L293" s="2" t="inlineStr"/>
      <c r="M293" s="2" t="inlineStr">
        <is>
          <t>P0</t>
        </is>
      </c>
      <c r="N293" s="5" t="inlineStr">
        <is>
          <t>Medium</t>
        </is>
      </c>
      <c r="O293" s="2" t="inlineStr"/>
      <c r="P293" s="2" t="inlineStr"/>
      <c r="Q293" s="2" t="inlineStr">
        <is>
          <t>TC-legacy</t>
        </is>
      </c>
    </row>
    <row r="294">
      <c r="A294" s="2" t="inlineStr">
        <is>
          <t>EPIC-09</t>
        </is>
      </c>
      <c r="B294" s="2" t="inlineStr">
        <is>
          <t>TC-CEPA-093-007</t>
        </is>
      </c>
      <c r="C294" s="2" t="inlineStr">
        <is>
          <t>Business Rules</t>
        </is>
      </c>
      <c r="D294" s="2" t="inlineStr">
        <is>
          <t>Atribución a profesional de referencia</t>
        </is>
      </c>
      <c r="E294" s="2" t="inlineStr">
        <is>
          <t>Motor de cálculo de carga</t>
        </is>
      </c>
      <c r="F294" s="2" t="inlineStr">
        <is>
          <t>Verificar que la carga se atribuye al profesional asignado en el registro (dato de referencia, D1) y no a la sesión de usuario que creó o modificó el registro.</t>
        </is>
      </c>
      <c r="G294" s="2" t="inlineStr">
        <is>
          <t>Web/API</t>
        </is>
      </c>
      <c r="H294" s="2" t="inlineStr">
        <is>
          <t>Usuario Administrativo autenticado; caso registrado por el administrativo con profesional asignado = 'Dr. Juan Rojas' (el profesional no es usuario del sistema)</t>
        </is>
      </c>
      <c r="I294" s="2" t="inlineStr">
        <is>
          <t>1. Con el usuario Administrativo, registrar una atención asignando profesional = 'Dr. Juan Rojas' al folio de prueba. 2. Iniciar sesión con Coordinación. 3. Generar el reporte de carga laboral del período. 4. Revisar a quién se atribuye la atención registrada</t>
        </is>
      </c>
      <c r="J294" s="2" t="inlineStr">
        <is>
          <t>La atención se atribuye en el reporte al Dr. Juan Rojas (profesional de referencia del registro) y no al usuario administrativo que la digitó; los profesionales aparecen aunque no tengan cuenta de acceso (D1).</t>
        </is>
      </c>
      <c r="K294" s="2" t="inlineStr"/>
      <c r="L294" s="2" t="inlineStr"/>
      <c r="M294" s="2" t="inlineStr">
        <is>
          <t>P0</t>
        </is>
      </c>
      <c r="N294" s="4" t="inlineStr">
        <is>
          <t>Major</t>
        </is>
      </c>
      <c r="O294" s="2" t="inlineStr"/>
      <c r="P294" s="2" t="inlineStr"/>
      <c r="Q294" s="2" t="inlineStr">
        <is>
          <t>BR-4</t>
        </is>
      </c>
    </row>
    <row r="295">
      <c r="A295" s="2" t="inlineStr">
        <is>
          <t>EPIC-09</t>
        </is>
      </c>
      <c r="B295" s="2" t="inlineStr">
        <is>
          <t>TC-CEPA-094-001</t>
        </is>
      </c>
      <c r="C295" s="2" t="inlineStr">
        <is>
          <t>Functional</t>
        </is>
      </c>
      <c r="D295" s="2" t="inlineStr">
        <is>
          <t>Acumulado por paciente</t>
        </is>
      </c>
      <c r="E295" s="2" t="inlineStr">
        <is>
          <t>Generador de reporte de licencias acumuladas</t>
        </is>
      </c>
      <c r="F295" s="2" t="inlineStr">
        <is>
          <t>Verificar que el reporte muestra, por paciente/folio, el total de días de licencia acumulados sumando todas sus licencias.</t>
        </is>
      </c>
      <c r="G295" s="2" t="inlineStr">
        <is>
          <t>Web</t>
        </is>
      </c>
      <c r="H295" s="2" t="inlineStr">
        <is>
          <t>Usuario Coordinación autenticado; paciente RUT 12.345.678-5 (folio F-2026-0101) con 4 licencias médicas registradas (ej. 10 + 15 + 7 + 30 = 62 días)</t>
        </is>
      </c>
      <c r="I295" s="2" t="inlineStr">
        <is>
          <t>1. Navegar al módulo de Reportes. 2. Seleccionar 'Reporte de licencias médicas acumuladas'. 3. Definir período que contiene las 4 licencias. 4. Hacer clic en 'Generar'. 5. Localizar el folio F-2026-0101 en el listado</t>
        </is>
      </c>
      <c r="J295" s="2" t="inlineStr">
        <is>
          <t>El reporte muestra para el paciente/folio el total acumulado de 62 días, sumando las 4 licencias, consistente con el cálculo automático de EPIC-07/§7.7.3.</t>
        </is>
      </c>
      <c r="K295" s="2" t="inlineStr"/>
      <c r="L295" s="2" t="inlineStr"/>
      <c r="M295" s="2" t="inlineStr">
        <is>
          <t>P0</t>
        </is>
      </c>
      <c r="N295" s="3" t="inlineStr">
        <is>
          <t>Critical</t>
        </is>
      </c>
      <c r="O295" s="2" t="inlineStr"/>
      <c r="P295" s="2" t="inlineStr"/>
      <c r="Q295" s="2" t="inlineStr">
        <is>
          <t>S1</t>
        </is>
      </c>
    </row>
    <row r="296">
      <c r="A296" s="2" t="inlineStr">
        <is>
          <t>EPIC-09</t>
        </is>
      </c>
      <c r="B296" s="2" t="inlineStr">
        <is>
          <t>TC-CEPA-094-002</t>
        </is>
      </c>
      <c r="C296" s="2" t="inlineStr">
        <is>
          <t>Functional</t>
        </is>
      </c>
      <c r="D296" s="2" t="inlineStr">
        <is>
          <t>Filtros y descarga</t>
        </is>
      </c>
      <c r="E296" s="2" t="inlineStr">
        <is>
          <t>Generador de reporte de licencias acumuladas</t>
        </is>
      </c>
      <c r="F296" s="2" t="inlineStr">
        <is>
          <t>Verificar que los filtros (período, región/comuna, tipo de licencia, tipo de reposo, programa) recalculan el reporte y permiten su descarga en formato estándar.</t>
        </is>
      </c>
      <c r="G296" s="2" t="inlineStr">
        <is>
          <t>Web</t>
        </is>
      </c>
      <c r="H296" s="2" t="inlineStr">
        <is>
          <t>Usuario Coordinación autenticado; licencias registradas en varias regiones con distintos tipos de licencia (1/5/6) y reposo (total/parcial)</t>
        </is>
      </c>
      <c r="I296" s="2" t="inlineStr">
        <is>
          <t>1. Generar el reporte de licencias acumuladas para el mes actual. 2. Aplicar filtro región = 'Maule'. 3. Aplicar filtro tipo de reposo = 'Total'. 4. Aplicar filtro tipo de licencia = '1'. 5. Confirmar los filtros. 6. Hacer clic en 'Descargar' en formato estándar (Excel/CSV)</t>
        </is>
      </c>
      <c r="J296" s="2" t="inlineStr">
        <is>
          <t>El reporte recalcula mostrando solo licencias tipo 1 con reposo total de la región del Maule; el archivo descargado es válido y coincide con la vista.</t>
        </is>
      </c>
      <c r="K296" s="2" t="inlineStr"/>
      <c r="L296" s="2" t="inlineStr"/>
      <c r="M296" s="2" t="inlineStr">
        <is>
          <t>P0</t>
        </is>
      </c>
      <c r="N296" s="4" t="inlineStr">
        <is>
          <t>Major</t>
        </is>
      </c>
      <c r="O296" s="2" t="inlineStr"/>
      <c r="P296" s="2" t="inlineStr"/>
      <c r="Q296" s="2" t="inlineStr">
        <is>
          <t>S1</t>
        </is>
      </c>
    </row>
    <row r="297">
      <c r="A297" s="2" t="inlineStr">
        <is>
          <t>EPIC-09</t>
        </is>
      </c>
      <c r="B297" s="2" t="inlineStr">
        <is>
          <t>TC-CEPA-094-003</t>
        </is>
      </c>
      <c r="C297" s="2" t="inlineStr">
        <is>
          <t>Functional</t>
        </is>
      </c>
      <c r="D297" s="2" t="inlineStr">
        <is>
          <t>Licencias extra-sistema</t>
        </is>
      </c>
      <c r="E297" s="2" t="inlineStr">
        <is>
          <t>Motor de acumulado de licencias</t>
        </is>
      </c>
      <c r="F297" s="2" t="inlineStr">
        <is>
          <t>Verificar que las licencias extra-sistema (D7) se incluyen en el acumulado cuando así se configura, distinguidas como de origen externo.</t>
        </is>
      </c>
      <c r="G297" s="2" t="inlineStr">
        <is>
          <t>Web</t>
        </is>
      </c>
      <c r="H297" s="2" t="inlineStr">
        <is>
          <t>Usuario Coordinación autenticado; paciente con 2 licencias internas (10 + 5 días) y 1 licencia extra-sistema registrada (7 días)</t>
        </is>
      </c>
      <c r="I297" s="2" t="inlineStr">
        <is>
          <t>1. Navegar al reporte de licencias acumuladas. 2. Activar la opción de incluir licencias extra-sistema. 3. Definir el período que contiene las 3 licencias. 4. Hacer clic en 'Generar'. 5. Localizar al paciente y revisar el detalle de sus licencias</t>
        </is>
      </c>
      <c r="J297" s="2" t="inlineStr">
        <is>
          <t>El acumulado del paciente es 22 días (incluye la extra-sistema); la licencia externa aparece marcada/distinguida como de origen extra-sistema.</t>
        </is>
      </c>
      <c r="K297" s="2" t="inlineStr"/>
      <c r="L297" s="2" t="inlineStr"/>
      <c r="M297" s="2" t="inlineStr">
        <is>
          <t>P0</t>
        </is>
      </c>
      <c r="N297" s="4" t="inlineStr">
        <is>
          <t>Major</t>
        </is>
      </c>
      <c r="O297" s="2" t="inlineStr"/>
      <c r="P297" s="2" t="inlineStr"/>
      <c r="Q297" s="2" t="inlineStr">
        <is>
          <t>S2</t>
        </is>
      </c>
    </row>
    <row r="298">
      <c r="A298" s="2" t="inlineStr">
        <is>
          <t>EPIC-09</t>
        </is>
      </c>
      <c r="B298" s="2" t="inlineStr">
        <is>
          <t>TC-CEPA-094-004</t>
        </is>
      </c>
      <c r="C298" s="2" t="inlineStr">
        <is>
          <t>Data Integrity</t>
        </is>
      </c>
      <c r="D298" s="2" t="inlineStr">
        <is>
          <t>Campos de licencia (D8)</t>
        </is>
      </c>
      <c r="E298" s="2" t="inlineStr">
        <is>
          <t>Generador de reporte de licencias acumuladas</t>
        </is>
      </c>
      <c r="F298" s="2" t="inlineStr">
        <is>
          <t>Verificar que el reporte expone los datos de licencia conforme a D8 (días de reposo, inicio/fin de reposo, fecha de emisión, tipo de licencia, indicación y diagnóstico, tipo de reposo) y que los valores tipo lista son catálogos cerrados.</t>
        </is>
      </c>
      <c r="G298" s="2" t="inlineStr">
        <is>
          <t>Web</t>
        </is>
      </c>
      <c r="H298" s="2" t="inlineStr">
        <is>
          <t>Usuario Coordinación autenticado; licencia registrada con todos los campos D8 completos (ej. 10 días, inicio 01-06-2026, fin 10-06-2026, emisión 30-05-2026, tipo 1, reposo total, diagnóstico registrado)</t>
        </is>
      </c>
      <c r="I298" s="2" t="inlineStr">
        <is>
          <t>1. Generar el reporte de licencias acumuladas del período. 2. Abrir el detalle de la licencia de prueba. 3. Verificar la presencia de cada campo D8: días de reposo, fecha inicio y fin de reposo, fecha de emisión, tipo de licencia, indicación y diagnóstico, tipo de reposo. 4. Verificar que tipo de licencia solo admite los valores 1/5/6 y tipo de reposo solo total/parcial</t>
        </is>
      </c>
      <c r="J298" s="2" t="inlineStr">
        <is>
          <t>El reporte muestra todos los campos definidos en D8 para cada licencia; tipo de licencia y tipo de reposo se comportan como catálogos cerrados (1/5/6 y total/parcial respectivamente), reproduciendo la información de la hoja de licencias de la planilla original.</t>
        </is>
      </c>
      <c r="K298" s="2" t="inlineStr"/>
      <c r="L298" s="2" t="inlineStr"/>
      <c r="M298" s="2" t="inlineStr">
        <is>
          <t>P0</t>
        </is>
      </c>
      <c r="N298" s="4" t="inlineStr">
        <is>
          <t>Major</t>
        </is>
      </c>
      <c r="O298" s="2" t="inlineStr"/>
      <c r="P298" s="2" t="inlineStr"/>
      <c r="Q298" s="2" t="inlineStr">
        <is>
          <t>BR-3</t>
        </is>
      </c>
    </row>
    <row r="299">
      <c r="A299" s="2" t="inlineStr">
        <is>
          <t>EPIC-09</t>
        </is>
      </c>
      <c r="B299" s="2" t="inlineStr">
        <is>
          <t>TC-CEPA-094-005</t>
        </is>
      </c>
      <c r="C299" s="2" t="inlineStr">
        <is>
          <t>Security</t>
        </is>
      </c>
      <c r="D299" s="2" t="inlineStr">
        <is>
          <t>RBAC y QA de métricas</t>
        </is>
      </c>
      <c r="E299" s="2" t="inlineStr">
        <is>
          <t>Control de acceso de reportes</t>
        </is>
      </c>
      <c r="F299" s="2" t="inlineStr">
        <is>
          <t>Verificar que Coordinación genera el reporte de licencias acumuladas, Auditor accede en solo lectura y el cálculo acumulado cuenta con QA de métricas aprobado (D5).</t>
        </is>
      </c>
      <c r="G299" s="2" t="inlineStr">
        <is>
          <t>Web/API</t>
        </is>
      </c>
      <c r="H299" s="2" t="inlineStr">
        <is>
          <t>Usuarios Coordinación y Auditor de prueba; registros de validación de QA de métricas del cálculo acumulado accesibles</t>
        </is>
      </c>
      <c r="I299" s="2" t="inlineStr">
        <is>
          <t>1. Iniciar sesión con Coordinación y generar el reporte de licencias acumuladas. 2. Iniciar sesión con Auditor, abrir/descargar el reporte e intentar acciones de edición. 3. Revisar la evidencia de QA de métricas (validación de resultado y de proceso) del cálculo acumulado</t>
        </is>
      </c>
      <c r="J299" s="2" t="inlineStr">
        <is>
          <t>Coordinación genera correctamente; Auditor solo lectura (edición deshabilitada o denegada); el cálculo acumulado cuenta con validación de resultado y de proceso registrada antes de su publicación.</t>
        </is>
      </c>
      <c r="K299" s="2" t="inlineStr"/>
      <c r="L299" s="2" t="inlineStr"/>
      <c r="M299" s="2" t="inlineStr">
        <is>
          <t>P0</t>
        </is>
      </c>
      <c r="N299" s="3" t="inlineStr">
        <is>
          <t>Critical</t>
        </is>
      </c>
      <c r="O299" s="2" t="inlineStr"/>
      <c r="P299" s="2" t="inlineStr"/>
      <c r="Q299" s="2" t="inlineStr">
        <is>
          <t>BR-6</t>
        </is>
      </c>
    </row>
    <row r="300">
      <c r="A300" s="2" t="inlineStr">
        <is>
          <t>EPIC-09</t>
        </is>
      </c>
      <c r="B300" s="2" t="inlineStr">
        <is>
          <t>TC-CEPA-094-006</t>
        </is>
      </c>
      <c r="C300" s="2" t="inlineStr">
        <is>
          <t>Functional</t>
        </is>
      </c>
      <c r="D300" s="2" t="inlineStr">
        <is>
          <t>Validación de período</t>
        </is>
      </c>
      <c r="E300" s="2" t="inlineStr">
        <is>
          <t>Generador de reporte de licencias acumuladas</t>
        </is>
      </c>
      <c r="F300" s="2" t="inlineStr">
        <is>
          <t>Verificar que generar el reporte de licencias acumuladas sin período produce error de validación.</t>
        </is>
      </c>
      <c r="G300" s="2" t="inlineStr">
        <is>
          <t>Web</t>
        </is>
      </c>
      <c r="H300" s="2" t="inlineStr">
        <is>
          <t>Usuario Coordinación autenticado; módulo de Reportes accesible</t>
        </is>
      </c>
      <c r="I300" s="2" t="inlineStr">
        <is>
          <t>1. Navegar al reporte de licencias médicas acumuladas. 2. Dejar el campo período vacío. 3. Hacer clic en 'Generar'</t>
        </is>
      </c>
      <c r="J300" s="2" t="inlineStr">
        <is>
          <t>El sistema muestra un error de validación indicando que el período es obligatorio y no genera el reporte.</t>
        </is>
      </c>
      <c r="K300" s="2" t="inlineStr"/>
      <c r="L300" s="2" t="inlineStr"/>
      <c r="M300" s="2" t="inlineStr">
        <is>
          <t>P0</t>
        </is>
      </c>
      <c r="N300" s="5" t="inlineStr">
        <is>
          <t>Medium</t>
        </is>
      </c>
      <c r="O300" s="2" t="inlineStr"/>
      <c r="P300" s="2" t="inlineStr"/>
      <c r="Q300" s="2" t="inlineStr">
        <is>
          <t>TC-legacy</t>
        </is>
      </c>
    </row>
    <row r="301">
      <c r="A301" s="2" t="inlineStr">
        <is>
          <t>EPIC-09</t>
        </is>
      </c>
      <c r="B301" s="2" t="inlineStr">
        <is>
          <t>TC-CEPA-094-007</t>
        </is>
      </c>
      <c r="C301" s="2" t="inlineStr">
        <is>
          <t>Data Integrity</t>
        </is>
      </c>
      <c r="D301" s="2" t="inlineStr">
        <is>
          <t>Consistencia con planilla de licencias</t>
        </is>
      </c>
      <c r="E301" s="2" t="inlineStr">
        <is>
          <t>Motor de acumulado de licencias</t>
        </is>
      </c>
      <c r="F301" s="2" t="inlineStr">
        <is>
          <t>Verificar que el acumulado de licencias del reporte reproduce el resultado que se obtenía manualmente en la hoja de licencias de la planilla Excel original para el mismo set de pacientes.</t>
        </is>
      </c>
      <c r="G301" s="2" t="inlineStr">
        <is>
          <t>Web</t>
        </is>
      </c>
      <c r="H301" s="2" t="inlineStr">
        <is>
          <t>Usuario Coordinación autenticado; set de licencias de prueba equivalente a un extracto de la hoja de licencias de la planilla original, con acumulados de referencia calculados manualmente para 3 pacientes</t>
        </is>
      </c>
      <c r="I301" s="2" t="inlineStr">
        <is>
          <t>1. Cargar/verificar el set de licencias de prueba de los 3 pacientes de referencia. 2. Calcular manualmente el acumulado de días por paciente según la lógica de la planilla original. 3. Generar el reporte de licencias acumuladas del período completo. 4. Comparar el acumulado de cada paciente contra el valor de referencia</t>
        </is>
      </c>
      <c r="J301" s="2" t="inlineStr">
        <is>
          <t>Los acumulados del reporte coinciden exactamente con los valores de referencia de la planilla para los 3 pacientes, garantizando que el sistema reemplaza sin pérdida el cálculo manual de la planilla.</t>
        </is>
      </c>
      <c r="K301" s="2" t="inlineStr"/>
      <c r="L301" s="2" t="inlineStr"/>
      <c r="M301" s="2" t="inlineStr">
        <is>
          <t>P0</t>
        </is>
      </c>
      <c r="N301" s="3" t="inlineStr">
        <is>
          <t>Critical</t>
        </is>
      </c>
      <c r="O301" s="2" t="inlineStr"/>
      <c r="P301" s="2" t="inlineStr"/>
      <c r="Q301" s="2" t="inlineStr">
        <is>
          <t>PLANILLA</t>
        </is>
      </c>
    </row>
    <row r="302">
      <c r="A302" s="2" t="inlineStr">
        <is>
          <t>EPIC-09</t>
        </is>
      </c>
      <c r="B302" s="2" t="inlineStr">
        <is>
          <t>TC-CEPA-095-001</t>
        </is>
      </c>
      <c r="C302" s="2" t="inlineStr">
        <is>
          <t>Functional</t>
        </is>
      </c>
      <c r="D302" s="2" t="inlineStr">
        <is>
          <t>Cálculo de adherencia</t>
        </is>
      </c>
      <c r="E302" s="2" t="inlineStr">
        <is>
          <t>Motor de métricas de adherencia</t>
        </is>
      </c>
      <c r="F302" s="2" t="inlineStr">
        <is>
          <t>Verificar que la métrica de adherencia muestra el % = citas realizadas / citas agendadas para el recorte seleccionado (paciente, programa, profesional o período).</t>
        </is>
      </c>
      <c r="G302" s="2" t="inlineStr">
        <is>
          <t>Web</t>
        </is>
      </c>
      <c r="H302" s="2" t="inlineStr">
        <is>
          <t>Usuario Coordinación autenticado; paciente RUT 12.345.678-5 con 10 citas agendadas y 8 realizadas en el período</t>
        </is>
      </c>
      <c r="I302" s="2" t="inlineStr">
        <is>
          <t>1. Navegar a las métricas de adherencia. 2. Seleccionar recorte = paciente RUT 12.345.678-5, período = mes actual. 3. Confirmar la selección. 4. Revisar el % de adherencia mostrado. 5. Repetir seleccionando recorte por programa y por profesional</t>
        </is>
      </c>
      <c r="J302" s="2" t="inlineStr">
        <is>
          <t>El sistema muestra adherencia = 80% (8/10) para el paciente; los recortes por programa, profesional y período calculan el % con la misma fórmula, excluyendo del denominador las citas no aplicables según catálogo.</t>
        </is>
      </c>
      <c r="K302" s="2" t="inlineStr"/>
      <c r="L302" s="2" t="inlineStr"/>
      <c r="M302" s="2" t="inlineStr">
        <is>
          <t>P1</t>
        </is>
      </c>
      <c r="N302" s="4" t="inlineStr">
        <is>
          <t>Major</t>
        </is>
      </c>
      <c r="O302" s="2" t="inlineStr"/>
      <c r="P302" s="2" t="inlineStr"/>
      <c r="Q302" s="2" t="inlineStr">
        <is>
          <t>S1</t>
        </is>
      </c>
    </row>
    <row r="303">
      <c r="A303" s="2" t="inlineStr">
        <is>
          <t>EPIC-09</t>
        </is>
      </c>
      <c r="B303" s="2" t="inlineStr">
        <is>
          <t>TC-CEPA-095-002</t>
        </is>
      </c>
      <c r="C303" s="2" t="inlineStr">
        <is>
          <t>Functional</t>
        </is>
      </c>
      <c r="D303" s="2" t="inlineStr">
        <is>
          <t>Avance de tratamiento</t>
        </is>
      </c>
      <c r="E303" s="2" t="inlineStr">
        <is>
          <t>Motor de avance de tratamiento</t>
        </is>
      </c>
      <c r="F303" s="2" t="inlineStr">
        <is>
          <t>Verificar que el avance del tratamiento muestra etapa (10/15/21 sesiones), sesiones restantes para posible alta, % de avance por plan y aumentos de sesiones entregados por ISL.</t>
        </is>
      </c>
      <c r="G303" s="2" t="inlineStr">
        <is>
          <t>Web</t>
        </is>
      </c>
      <c r="H303" s="2" t="inlineStr">
        <is>
          <t>Usuario Coordinación autenticado; caso con plan de 15 sesiones, 10 realizadas y un aumento de +3 sesiones entregado por ISL</t>
        </is>
      </c>
      <c r="I303" s="2" t="inlineStr">
        <is>
          <t>1. Navegar a las métricas de avance de tratamiento. 2. Seleccionar el caso/plan de tratamiento de prueba. 3. Revisar la etapa del tratamiento mostrada. 4. Revisar las sesiones restantes para posible alta. 5. Revisar el % de avance por plan y el registro de aumentos ISL</t>
        </is>
      </c>
      <c r="J303" s="2" t="inlineStr">
        <is>
          <t>El sistema muestra etapa = 10 de 15 (+3 ISL, plan efectivo 18), sesiones restantes = 8 para posible alta, % de avance coherente con el plan ampliado y el aumento ISL identificado explícitamente.</t>
        </is>
      </c>
      <c r="K303" s="2" t="inlineStr"/>
      <c r="L303" s="2" t="inlineStr"/>
      <c r="M303" s="2" t="inlineStr">
        <is>
          <t>P1</t>
        </is>
      </c>
      <c r="N303" s="4" t="inlineStr">
        <is>
          <t>Major</t>
        </is>
      </c>
      <c r="O303" s="2" t="inlineStr"/>
      <c r="P303" s="2" t="inlineStr"/>
      <c r="Q303" s="2" t="inlineStr">
        <is>
          <t>S1</t>
        </is>
      </c>
    </row>
    <row r="304">
      <c r="A304" s="2" t="inlineStr">
        <is>
          <t>EPIC-09</t>
        </is>
      </c>
      <c r="B304" s="2" t="inlineStr">
        <is>
          <t>TC-CEPA-095-003</t>
        </is>
      </c>
      <c r="C304" s="2" t="inlineStr">
        <is>
          <t>Functional</t>
        </is>
      </c>
      <c r="D304" s="2" t="inlineStr">
        <is>
          <t>Estadísticas de fármacos</t>
        </is>
      </c>
      <c r="E304" s="2" t="inlineStr">
        <is>
          <t>Motor de estadísticas de fármacos</t>
        </is>
      </c>
      <c r="F304" s="2" t="inlineStr">
        <is>
          <t>Verificar que las estadísticas de fármacos se muestran filtradas por tratamiento, programa o profesional, incluyendo fármacos extra-sistema (D7).</t>
        </is>
      </c>
      <c r="G304" s="2" t="inlineStr">
        <is>
          <t>Web</t>
        </is>
      </c>
      <c r="H304" s="2" t="inlineStr">
        <is>
          <t>Usuario Coordinación autenticado; fármacos registrados en el Programa A, incluyendo al menos un fármaco extra-sistema</t>
        </is>
      </c>
      <c r="I304" s="2" t="inlineStr">
        <is>
          <t>1. Navegar a las estadísticas de fármacos. 2. Aplicar filtro programa = 'Programa A'. 3. Confirmar y revisar las estadísticas mostradas. 4. Cambiar el filtro a un tratamiento específico y luego a un profesional. 5. Verificar la inclusión del fármaco extra-sistema en los conteos</t>
        </is>
      </c>
      <c r="J304" s="2" t="inlineStr">
        <is>
          <t>Las estadísticas de fármacos se calculan correctamente para cada recorte (tratamiento, programa, profesional) y consideran el esquema farmacológico incluyendo los fármacos extra-sistema (D7).</t>
        </is>
      </c>
      <c r="K304" s="2" t="inlineStr"/>
      <c r="L304" s="2" t="inlineStr"/>
      <c r="M304" s="2" t="inlineStr">
        <is>
          <t>P1</t>
        </is>
      </c>
      <c r="N304" s="4" t="inlineStr">
        <is>
          <t>Major</t>
        </is>
      </c>
      <c r="O304" s="2" t="inlineStr"/>
      <c r="P304" s="2" t="inlineStr"/>
      <c r="Q304" s="2" t="inlineStr">
        <is>
          <t>S1</t>
        </is>
      </c>
    </row>
    <row r="305">
      <c r="A305" s="2" t="inlineStr">
        <is>
          <t>EPIC-09</t>
        </is>
      </c>
      <c r="B305" s="2" t="inlineStr">
        <is>
          <t>TC-CEPA-095-004</t>
        </is>
      </c>
      <c r="C305" s="2" t="inlineStr">
        <is>
          <t>Business Rules</t>
        </is>
      </c>
      <c r="D305" s="2" t="inlineStr">
        <is>
          <t>QA de métricas</t>
        </is>
      </c>
      <c r="E305" s="2" t="inlineStr">
        <is>
          <t>Proceso de validación de métricas</t>
        </is>
      </c>
      <c r="F305" s="2" t="inlineStr">
        <is>
          <t>Verificar que toda métrica publicada en dashboard/reporte cuenta con validación de resultado y de proceso (persona vs. programador) y responsable de QA de métricas asignado (D5).</t>
        </is>
      </c>
      <c r="G305" s="2" t="inlineStr">
        <is>
          <t>Web</t>
        </is>
      </c>
      <c r="H305" s="2" t="inlineStr">
        <is>
          <t>Métricas de adherencia, avance y fármacos implementadas; registros de validación de QA de métricas accesibles; una métrica candidata sin validación completa</t>
        </is>
      </c>
      <c r="I305" s="2" t="inlineStr">
        <is>
          <t>1. Listar las métricas publicadas (adherencia, avance de tratamiento, fármacos). 2. Para cada una, revisar la evidencia de validación de resultado (comparación contra cálculo manual de control). 3. Revisar la evidencia de validación de proceso (persona vs. programador) y el responsable de QA asignado. 4. Intentar publicar la métrica candidata sin validación completa</t>
        </is>
      </c>
      <c r="J305" s="2" t="inlineStr">
        <is>
          <t>Cada métrica publicada tiene validación de resultado y de proceso con responsable asignado; la métrica sin validación no puede publicarse.</t>
        </is>
      </c>
      <c r="K305" s="2" t="inlineStr"/>
      <c r="L305" s="2" t="inlineStr"/>
      <c r="M305" s="2" t="inlineStr">
        <is>
          <t>P1</t>
        </is>
      </c>
      <c r="N305" s="4" t="inlineStr">
        <is>
          <t>Major</t>
        </is>
      </c>
      <c r="O305" s="2" t="inlineStr"/>
      <c r="P305" s="2" t="inlineStr"/>
      <c r="Q305" s="2" t="inlineStr">
        <is>
          <t>S4</t>
        </is>
      </c>
    </row>
    <row r="306">
      <c r="A306" s="2" t="inlineStr">
        <is>
          <t>EPIC-09</t>
        </is>
      </c>
      <c r="B306" s="2" t="inlineStr">
        <is>
          <t>TC-CEPA-095-005</t>
        </is>
      </c>
      <c r="C306" s="2" t="inlineStr">
        <is>
          <t>Security</t>
        </is>
      </c>
      <c r="D306" s="2" t="inlineStr">
        <is>
          <t>RBAC</t>
        </is>
      </c>
      <c r="E306" s="2" t="inlineStr">
        <is>
          <t>Control de acceso de métricas</t>
        </is>
      </c>
      <c r="F306" s="2" t="inlineStr">
        <is>
          <t>Verificar que Coordinación explota las métricas de adherencia/avance/fármacos y que Auditor accede en solo lectura.</t>
        </is>
      </c>
      <c r="G306" s="2" t="inlineStr">
        <is>
          <t>Web/API</t>
        </is>
      </c>
      <c r="H306" s="2" t="inlineStr">
        <is>
          <t>Usuarios Coordinación y Auditor de prueba; métricas con datos disponibles</t>
        </is>
      </c>
      <c r="I306" s="2" t="inlineStr">
        <is>
          <t>1. Iniciar sesión con Coordinación y consultar adherencia, avance y fármacos con distintos recortes. 2. Iniciar sesión con Auditor. 3. Consultar las mismas métricas. 4. Intentar cualquier acción de configuración o edición con el Auditor</t>
        </is>
      </c>
      <c r="J306" s="2" t="inlineStr">
        <is>
          <t>Coordinación accede y explota las métricas con todos los recortes; Auditor las visualiza en solo lectura y toda acción de configuración/edición es denegada; no existe perfil Clínico (D1).</t>
        </is>
      </c>
      <c r="K306" s="2" t="inlineStr"/>
      <c r="L306" s="2" t="inlineStr"/>
      <c r="M306" s="2" t="inlineStr">
        <is>
          <t>P1</t>
        </is>
      </c>
      <c r="N306" s="3" t="inlineStr">
        <is>
          <t>Critical</t>
        </is>
      </c>
      <c r="O306" s="2" t="inlineStr"/>
      <c r="P306" s="2" t="inlineStr"/>
      <c r="Q306" s="2" t="inlineStr">
        <is>
          <t>BR-5</t>
        </is>
      </c>
    </row>
    <row r="307">
      <c r="A307" s="2" t="inlineStr">
        <is>
          <t>EPIC-09</t>
        </is>
      </c>
      <c r="B307" s="2" t="inlineStr">
        <is>
          <t>TC-CEPA-095-006</t>
        </is>
      </c>
      <c r="C307" s="2" t="inlineStr">
        <is>
          <t>Functional</t>
        </is>
      </c>
      <c r="D307" s="2" t="inlineStr">
        <is>
          <t>División por cero</t>
        </is>
      </c>
      <c r="E307" s="2" t="inlineStr">
        <is>
          <t>Motor de métricas de adherencia</t>
        </is>
      </c>
      <c r="F307" s="2" t="inlineStr">
        <is>
          <t>Verificar que la adherencia de un paciente con 0 citas agendadas no produce división por cero y muestra estado 'no aplica/sin datos'.</t>
        </is>
      </c>
      <c r="G307" s="2" t="inlineStr">
        <is>
          <t>Web</t>
        </is>
      </c>
      <c r="H307" s="2" t="inlineStr">
        <is>
          <t>Usuario Coordinación autenticado; paciente registrado sin citas agendadas en el período</t>
        </is>
      </c>
      <c r="I307" s="2" t="inlineStr">
        <is>
          <t>1. Navegar a las métricas de adherencia. 2. Seleccionar recorte = paciente sin citas agendadas, período = mes actual. 3. Confirmar la selección. 4. Revisar el valor mostrado para la adherencia</t>
        </is>
      </c>
      <c r="J307" s="2" t="inlineStr">
        <is>
          <t>El sistema no produce error de división por cero; la adherencia se presenta como 'no aplica' o 'sin datos' (no como 0% ni valor erróneo).</t>
        </is>
      </c>
      <c r="K307" s="2" t="inlineStr"/>
      <c r="L307" s="2" t="inlineStr"/>
      <c r="M307" s="2" t="inlineStr">
        <is>
          <t>P1</t>
        </is>
      </c>
      <c r="N307" s="5" t="inlineStr">
        <is>
          <t>Medium</t>
        </is>
      </c>
      <c r="O307" s="2" t="inlineStr"/>
      <c r="P307" s="2" t="inlineStr"/>
      <c r="Q307" s="2" t="inlineStr">
        <is>
          <t>TC-legacy</t>
        </is>
      </c>
    </row>
    <row r="308">
      <c r="A308" s="2" t="inlineStr">
        <is>
          <t>EPIC-09</t>
        </is>
      </c>
      <c r="B308" s="2" t="inlineStr">
        <is>
          <t>TC-CEPA-096-001</t>
        </is>
      </c>
      <c r="C308" s="2" t="inlineStr">
        <is>
          <t>Functional</t>
        </is>
      </c>
      <c r="D308" s="2" t="inlineStr">
        <is>
          <t>Vista consolidada de proceso</t>
        </is>
      </c>
      <c r="E308" s="2" t="inlineStr">
        <is>
          <t>Ventana de proceso de licencias</t>
        </is>
      </c>
      <c r="F308" s="2" t="inlineStr">
        <is>
          <t>Verificar que al abrir la ventana de un proceso (gestión de licencias) se muestra la información consolidada con sus campos relevantes y acciones disponibles.</t>
        </is>
      </c>
      <c r="G308" s="2" t="inlineStr">
        <is>
          <t>Web</t>
        </is>
      </c>
      <c r="H308" s="2" t="inlineStr">
        <is>
          <t>Usuario Administrativo autenticado con asignación al proceso de licencias; licencias registradas en el módulo de origen (EPIC-07)</t>
        </is>
      </c>
      <c r="I308" s="2" t="inlineStr">
        <is>
          <t>1. Iniciar sesión con perfil Administrativo. 2. Navegar a la ventana de proceso 'Gestión de licencias'. 3. Esperar la carga de la vista. 4. Revisar los campos mostrados por registro y las acciones disponibles</t>
        </is>
      </c>
      <c r="J308" s="2" t="inlineStr">
        <is>
          <t>La vista muestra la información consolidada del proceso de licencias en tiempo real desde la fuente única de verdad, con los campos relevantes del proceso y las acciones habilitadas para el rol.</t>
        </is>
      </c>
      <c r="K308" s="2" t="inlineStr"/>
      <c r="L308" s="2" t="inlineStr"/>
      <c r="M308" s="2" t="inlineStr">
        <is>
          <t>P1</t>
        </is>
      </c>
      <c r="N308" s="4" t="inlineStr">
        <is>
          <t>Major</t>
        </is>
      </c>
      <c r="O308" s="2" t="inlineStr"/>
      <c r="P308" s="2" t="inlineStr"/>
      <c r="Q308" s="2" t="inlineStr">
        <is>
          <t>S1</t>
        </is>
      </c>
    </row>
    <row r="309">
      <c r="A309" s="2" t="inlineStr">
        <is>
          <t>EPIC-09</t>
        </is>
      </c>
      <c r="B309" s="2" t="inlineStr">
        <is>
          <t>TC-CEPA-096-002</t>
        </is>
      </c>
      <c r="C309" s="2" t="inlineStr">
        <is>
          <t>Functional</t>
        </is>
      </c>
      <c r="D309" s="2" t="inlineStr">
        <is>
          <t>Filtrado y detalle</t>
        </is>
      </c>
      <c r="E309" s="2" t="inlineStr">
        <is>
          <t>Ventanas de proceso</t>
        </is>
      </c>
      <c r="F309" s="2" t="inlineStr">
        <is>
          <t>Verificar que en una ventana de proceso los filtros y el ordenamiento actualizan la vista al recorte y permiten acceder al detalle de cada caso.</t>
        </is>
      </c>
      <c r="G309" s="2" t="inlineStr">
        <is>
          <t>Web</t>
        </is>
      </c>
      <c r="H309" s="2" t="inlineStr">
        <is>
          <t>Usuario Administrativo autenticado; ventana de proceso de licencias abierta con registros en distintos estados</t>
        </is>
      </c>
      <c r="I309" s="2" t="inlineStr">
        <is>
          <t>1. En la ventana de proceso, aplicar filtro por estado (ej. estado = 'Pendiente'). 2. Ordenar el listado por fecha descendente. 3. Hacer clic en un registro del listado filtrado para abrir su detalle</t>
        </is>
      </c>
      <c r="J309" s="2" t="inlineStr">
        <is>
          <t>La vista muestra solo los registros del recorte, respeta el ordenamiento aplicado y el detalle del caso se abre correctamente desde el listado.</t>
        </is>
      </c>
      <c r="K309" s="2" t="inlineStr"/>
      <c r="L309" s="2" t="inlineStr"/>
      <c r="M309" s="2" t="inlineStr">
        <is>
          <t>P1</t>
        </is>
      </c>
      <c r="N309" s="4" t="inlineStr">
        <is>
          <t>Major</t>
        </is>
      </c>
      <c r="O309" s="2" t="inlineStr"/>
      <c r="P309" s="2" t="inlineStr"/>
      <c r="Q309" s="2" t="inlineStr">
        <is>
          <t>S1</t>
        </is>
      </c>
    </row>
    <row r="310">
      <c r="A310" s="2" t="inlineStr">
        <is>
          <t>EPIC-09</t>
        </is>
      </c>
      <c r="B310" s="2" t="inlineStr">
        <is>
          <t>TC-CEPA-096-003</t>
        </is>
      </c>
      <c r="C310" s="2" t="inlineStr">
        <is>
          <t>Functional</t>
        </is>
      </c>
      <c r="D310" s="2" t="inlineStr">
        <is>
          <t>Cinco vistas de proceso</t>
        </is>
      </c>
      <c r="E310" s="2" t="inlineStr">
        <is>
          <t>Navegación de ventanas de proceso</t>
        </is>
      </c>
      <c r="F310" s="2" t="inlineStr">
        <is>
          <t>Verificar que existen las cinco vistas de proceso (licencias, fármacos, auditoría, reintegro, controles) y que cada una presenta su información específica de forma accionable.</t>
        </is>
      </c>
      <c r="G310" s="2" t="inlineStr">
        <is>
          <t>Web</t>
        </is>
      </c>
      <c r="H310" s="2" t="inlineStr">
        <is>
          <t>Usuario Administrativo autenticado con asignación a los cinco procesos; datos en los módulos de origen (EPIC-02/04/05/06/07)</t>
        </is>
      </c>
      <c r="I310" s="2" t="inlineStr">
        <is>
          <t>1. Navegar a la vista de gestión de licencias médicas y revisar su contenido. 2. Navegar a la vista de gestión de fármacos y revisar su contenido. 3. Navegar a la vista de gestión de auditoría y revisar su contenido. 4. Navegar a la vista de gestión de reintegro y revisar su contenido. 5. Navegar a la vista de gestión de controles médicos y revisar su contenido</t>
        </is>
      </c>
      <c r="J310" s="2" t="inlineStr">
        <is>
          <t>Las cinco vistas existen y son navegables; cada una consolida los datos de su módulo de origen con información específica del proceso y acciones del rol (filtrar, ordenar, abrir detalle, ejecutar acciones).</t>
        </is>
      </c>
      <c r="K310" s="2" t="inlineStr"/>
      <c r="L310" s="2" t="inlineStr"/>
      <c r="M310" s="2" t="inlineStr">
        <is>
          <t>P1</t>
        </is>
      </c>
      <c r="N310" s="4" t="inlineStr">
        <is>
          <t>Major</t>
        </is>
      </c>
      <c r="O310" s="2" t="inlineStr"/>
      <c r="P310" s="2" t="inlineStr"/>
      <c r="Q310" s="2" t="inlineStr">
        <is>
          <t>S1</t>
        </is>
      </c>
    </row>
    <row r="311">
      <c r="A311" s="2" t="inlineStr">
        <is>
          <t>EPIC-09</t>
        </is>
      </c>
      <c r="B311" s="2" t="inlineStr">
        <is>
          <t>TC-CEPA-096-004</t>
        </is>
      </c>
      <c r="C311" s="2" t="inlineStr">
        <is>
          <t>Security</t>
        </is>
      </c>
      <c r="D311" s="2" t="inlineStr">
        <is>
          <t>RBAC Auditor</t>
        </is>
      </c>
      <c r="E311" s="2" t="inlineStr">
        <is>
          <t>Control de acceso de ventanas de proceso</t>
        </is>
      </c>
      <c r="F311" s="2" t="inlineStr">
        <is>
          <t>Verificar que el Auditor accede a la vista de gestión de auditoría en solo lectura, sin edición de datos clínicos.</t>
        </is>
      </c>
      <c r="G311" s="2" t="inlineStr">
        <is>
          <t>Web/API</t>
        </is>
      </c>
      <c r="H311" s="2" t="inlineStr">
        <is>
          <t>Usuario Auditor autenticado; datos en la vista de gestión de auditoría</t>
        </is>
      </c>
      <c r="I311" s="2" t="inlineStr">
        <is>
          <t>1. Iniciar sesión con perfil Auditor. 2. Abrir la vista de gestión de auditoría. 3. Abrir el detalle de un caso. 4. Intentar editar cualquier dato clínico del caso desde la vista y vía API con el token del auditor</t>
        </is>
      </c>
      <c r="J311" s="2" t="inlineStr">
        <is>
          <t>El Auditor visualiza la vista y los detalles correctamente; toda acción de edición de datos clínicos está deshabilitada en UI y es denegada en API (HTTP 403).</t>
        </is>
      </c>
      <c r="K311" s="2" t="inlineStr"/>
      <c r="L311" s="2" t="inlineStr"/>
      <c r="M311" s="2" t="inlineStr">
        <is>
          <t>P1</t>
        </is>
      </c>
      <c r="N311" s="3" t="inlineStr">
        <is>
          <t>Critical</t>
        </is>
      </c>
      <c r="O311" s="2" t="inlineStr"/>
      <c r="P311" s="2" t="inlineStr"/>
      <c r="Q311" s="2" t="inlineStr">
        <is>
          <t>S3</t>
        </is>
      </c>
    </row>
    <row r="312">
      <c r="A312" s="2" t="inlineStr">
        <is>
          <t>EPIC-09</t>
        </is>
      </c>
      <c r="B312" s="2" t="inlineStr">
        <is>
          <t>TC-CEPA-096-005</t>
        </is>
      </c>
      <c r="C312" s="2" t="inlineStr">
        <is>
          <t>Business Rules</t>
        </is>
      </c>
      <c r="D312" s="2" t="inlineStr">
        <is>
          <t>Tiempo real fuente única</t>
        </is>
      </c>
      <c r="E312" s="2" t="inlineStr">
        <is>
          <t>Ventanas de proceso</t>
        </is>
      </c>
      <c r="F312" s="2" t="inlineStr">
        <is>
          <t>Verificar que las vistas de proceso presentan datos en tiempo real desde la fuente única de verdad y no exports estáticos.</t>
        </is>
      </c>
      <c r="G312" s="2" t="inlineStr">
        <is>
          <t>Web</t>
        </is>
      </c>
      <c r="H312" s="2" t="inlineStr">
        <is>
          <t>Usuario Administrativo autenticado; ventana de proceso de licencias abierta; segundo usuario con permiso de registro en el módulo de licencias</t>
        </is>
      </c>
      <c r="I312" s="2" t="inlineStr">
        <is>
          <t>1. Abrir la ventana de proceso de licencias y registrar el conteo de registros visibles. 2. Con el segundo usuario, registrar una nueva licencia en el módulo de origen (EPIC-07). 3. Refrescar/recargar la ventana de proceso. 4. Buscar la licencia recién registrada en la vista</t>
        </is>
      </c>
      <c r="J312" s="2" t="inlineStr">
        <is>
          <t>La nueva licencia aparece en la ventana de proceso inmediatamente tras el refresco, demostrando que la vista consume la fuente única de verdad en tiempo real y no un export estático.</t>
        </is>
      </c>
      <c r="K312" s="2" t="inlineStr"/>
      <c r="L312" s="2" t="inlineStr"/>
      <c r="M312" s="2" t="inlineStr">
        <is>
          <t>P1</t>
        </is>
      </c>
      <c r="N312" s="4" t="inlineStr">
        <is>
          <t>Major</t>
        </is>
      </c>
      <c r="O312" s="2" t="inlineStr"/>
      <c r="P312" s="2" t="inlineStr"/>
      <c r="Q312" s="2" t="inlineStr">
        <is>
          <t>BR-3</t>
        </is>
      </c>
    </row>
    <row r="313">
      <c r="A313" s="2" t="inlineStr">
        <is>
          <t>EPIC-09</t>
        </is>
      </c>
      <c r="B313" s="2" t="inlineStr">
        <is>
          <t>TC-CEPA-096-006</t>
        </is>
      </c>
      <c r="C313" s="2" t="inlineStr">
        <is>
          <t>Performance</t>
        </is>
      </c>
      <c r="D313" s="2" t="inlineStr">
        <is>
          <t>Estado de proceso &lt;10 s</t>
        </is>
      </c>
      <c r="E313" s="2" t="inlineStr">
        <is>
          <t>Ventanas de proceso</t>
        </is>
      </c>
      <c r="F313" s="2" t="inlineStr">
        <is>
          <t>Verificar que el estado completo de un caso/proceso en las ventanas de visualización es accesible en menos de 10 segundos (alineado con OU3).</t>
        </is>
      </c>
      <c r="G313" s="2" t="inlineStr">
        <is>
          <t>Web</t>
        </is>
      </c>
      <c r="H313" s="2" t="inlineStr">
        <is>
          <t>Ambiente con volumen representativo de producción; usuario Administrativo autenticado; herramienta de medición de tiempos</t>
        </is>
      </c>
      <c r="I313" s="2" t="inlineStr">
        <is>
          <t>1. Abrir la ventana de proceso de licencias y medir el tiempo hasta la carga completa. 2. Aplicar un filtro y medir el tiempo de actualización. 3. Abrir el detalle de un caso y medir el tiempo hasta mostrar el estado completo. 4. Repetir las mediciones en la vista de controles médicos</t>
        </is>
      </c>
      <c r="J313" s="2" t="inlineStr">
        <is>
          <t>La carga de la vista, el filtrado y el acceso al estado completo de un caso se completan cada uno en menos de 10 segundos (OU3).</t>
        </is>
      </c>
      <c r="K313" s="2" t="inlineStr"/>
      <c r="L313" s="2" t="inlineStr"/>
      <c r="M313" s="2" t="inlineStr">
        <is>
          <t>P1</t>
        </is>
      </c>
      <c r="N313" s="4" t="inlineStr">
        <is>
          <t>Major</t>
        </is>
      </c>
      <c r="O313" s="2" t="inlineStr"/>
      <c r="P313" s="2" t="inlineStr"/>
      <c r="Q313" s="2" t="inlineStr">
        <is>
          <t>BR-5</t>
        </is>
      </c>
    </row>
    <row r="314">
      <c r="A314" s="2" t="inlineStr">
        <is>
          <t>EPIC-09</t>
        </is>
      </c>
      <c r="B314" s="2" t="inlineStr">
        <is>
          <t>TC-CEPA-096-007</t>
        </is>
      </c>
      <c r="C314" s="2" t="inlineStr">
        <is>
          <t>Functional</t>
        </is>
      </c>
      <c r="D314" s="2" t="inlineStr">
        <is>
          <t>Proceso vacío</t>
        </is>
      </c>
      <c r="E314" s="2" t="inlineStr">
        <is>
          <t>Ventanas de proceso</t>
        </is>
      </c>
      <c r="F314" s="2" t="inlineStr">
        <is>
          <t>Verificar que la vista de un proceso sin registros muestra un estado vacío explícito, sin error.</t>
        </is>
      </c>
      <c r="G314" s="2" t="inlineStr">
        <is>
          <t>Web</t>
        </is>
      </c>
      <c r="H314" s="2" t="inlineStr">
        <is>
          <t>Usuario Administrativo autenticado; existe un proceso sin registros (ej. gestión de reintegro sin casos)</t>
        </is>
      </c>
      <c r="I314" s="2" t="inlineStr">
        <is>
          <t>1. Navegar a la ventana del proceso sin registros. 2. Esperar la carga de la vista. 3. Revisar el contenido mostrado</t>
        </is>
      </c>
      <c r="J314" s="2" t="inlineStr">
        <is>
          <t>La vista carga sin errores y presenta un estado vacío explícito (mensaje 'sin registros' o equivalente), sin datos residuales ni fallas.</t>
        </is>
      </c>
      <c r="K314" s="2" t="inlineStr"/>
      <c r="L314" s="2" t="inlineStr"/>
      <c r="M314" s="2" t="inlineStr">
        <is>
          <t>P1</t>
        </is>
      </c>
      <c r="N314" s="5" t="inlineStr">
        <is>
          <t>Medium</t>
        </is>
      </c>
      <c r="O314" s="2" t="inlineStr"/>
      <c r="P314" s="2" t="inlineStr"/>
      <c r="Q314" s="2" t="inlineStr">
        <is>
          <t>TC-legacy</t>
        </is>
      </c>
    </row>
    <row r="315">
      <c r="A315" s="2" t="inlineStr">
        <is>
          <t>EPIC-09</t>
        </is>
      </c>
      <c r="B315" s="2" t="inlineStr">
        <is>
          <t>TC-CEPA-097-001</t>
        </is>
      </c>
      <c r="C315" s="2" t="inlineStr">
        <is>
          <t>Functional</t>
        </is>
      </c>
      <c r="D315" s="2" t="inlineStr">
        <is>
          <t>Listado de ODAS vencidas</t>
        </is>
      </c>
      <c r="E315" s="2" t="inlineStr">
        <is>
          <t>Generador de reporte de ODAS vencidas</t>
        </is>
      </c>
      <c r="F315" s="2" t="inlineStr">
        <is>
          <t>Verificar que el reporte lista todas las ODAS cuya fecha de vencimiento ya pasó respecto de la fecha actual, con folio/paciente, fecha de registro y fecha de vencimiento.</t>
        </is>
      </c>
      <c r="G315" s="2" t="inlineStr">
        <is>
          <t>Web</t>
        </is>
      </c>
      <c r="H315" s="2" t="inlineStr">
        <is>
          <t>Usuario Administrativo autenticado; existen ODAS vencidas (vencimiento 2026-05-15 y 2026-06-01) y vigentes (vencimiento 2026-08-30); fecha actual del sistema 2026-06-03</t>
        </is>
      </c>
      <c r="I315" s="2" t="inlineStr">
        <is>
          <t>1. Navegar al módulo de Reportes. 2. Seleccionar 'Reporte de ODAS vencidas'. 3. Hacer clic en 'Generar'. 4. Revisar el listado resultante y las columnas de cada registro</t>
        </is>
      </c>
      <c r="J315" s="2" t="inlineStr">
        <is>
          <t>El reporte lista únicamente las ODAS con fecha de vencimiento anterior a la fecha actual (2026-05-15 y 2026-06-01), mostrando folio/paciente, fecha de registro y fecha de vencimiento; las ODAS vigentes no aparecen.</t>
        </is>
      </c>
      <c r="K315" s="2" t="inlineStr"/>
      <c r="L315" s="2" t="inlineStr"/>
      <c r="M315" s="2" t="inlineStr">
        <is>
          <t>P0</t>
        </is>
      </c>
      <c r="N315" s="3" t="inlineStr">
        <is>
          <t>Critical</t>
        </is>
      </c>
      <c r="O315" s="2" t="inlineStr"/>
      <c r="P315" s="2" t="inlineStr"/>
      <c r="Q315" s="2" t="inlineStr">
        <is>
          <t>S1</t>
        </is>
      </c>
    </row>
    <row r="316">
      <c r="A316" s="2" t="inlineStr">
        <is>
          <t>EPIC-09</t>
        </is>
      </c>
      <c r="B316" s="2" t="inlineStr">
        <is>
          <t>TC-CEPA-097-002</t>
        </is>
      </c>
      <c r="C316" s="2" t="inlineStr">
        <is>
          <t>Functional</t>
        </is>
      </c>
      <c r="D316" s="2" t="inlineStr">
        <is>
          <t>Filtros y descarga</t>
        </is>
      </c>
      <c r="E316" s="2" t="inlineStr">
        <is>
          <t>Generador de reporte de ODAS vencidas</t>
        </is>
      </c>
      <c r="F316" s="2" t="inlineStr">
        <is>
          <t>Verificar que los filtros (período, programa, región/comuna) acotan el reporte de ODAS vencidas y permiten descargarlo en formato estándar.</t>
        </is>
      </c>
      <c r="G316" s="2" t="inlineStr">
        <is>
          <t>Web</t>
        </is>
      </c>
      <c r="H316" s="2" t="inlineStr">
        <is>
          <t>Usuario Administrativo autenticado; ODAS vencidas registradas en varias comunas y programas</t>
        </is>
      </c>
      <c r="I316" s="2" t="inlineStr">
        <is>
          <t>1. Generar el reporte de ODAS vencidas. 2. Aplicar filtro región = 'Maule'. 3. Aplicar filtro programa = 'Programa A'. 4. Confirmar los filtros. 5. Hacer clic en 'Descargar' en formato estándar (Excel/CSV)</t>
        </is>
      </c>
      <c r="J316" s="2" t="inlineStr">
        <is>
          <t>El reporte se acota a las ODAS vencidas de la región del Maule del Programa A; el archivo descargado es válido y coincide con la vista.</t>
        </is>
      </c>
      <c r="K316" s="2" t="inlineStr"/>
      <c r="L316" s="2" t="inlineStr"/>
      <c r="M316" s="2" t="inlineStr">
        <is>
          <t>P0</t>
        </is>
      </c>
      <c r="N316" s="4" t="inlineStr">
        <is>
          <t>Major</t>
        </is>
      </c>
      <c r="O316" s="2" t="inlineStr"/>
      <c r="P316" s="2" t="inlineStr"/>
      <c r="Q316" s="2" t="inlineStr">
        <is>
          <t>S1</t>
        </is>
      </c>
    </row>
    <row r="317">
      <c r="A317" s="2" t="inlineStr">
        <is>
          <t>EPIC-09</t>
        </is>
      </c>
      <c r="B317" s="2" t="inlineStr">
        <is>
          <t>TC-CEPA-097-003</t>
        </is>
      </c>
      <c r="C317" s="2" t="inlineStr">
        <is>
          <t>Functional</t>
        </is>
      </c>
      <c r="D317" s="2" t="inlineStr">
        <is>
          <t>Exclusión de ODAS vigentes</t>
        </is>
      </c>
      <c r="E317" s="2" t="inlineStr">
        <is>
          <t>Motor de vencimiento de ODAS</t>
        </is>
      </c>
      <c r="F317" s="2" t="inlineStr">
        <is>
          <t>Verificar que una ODA no vencida (incluida la que vence exactamente hoy) no aparece en el reporte de ODAS vencidas.</t>
        </is>
      </c>
      <c r="G317" s="2" t="inlineStr">
        <is>
          <t>Web</t>
        </is>
      </c>
      <c r="H317" s="2" t="inlineStr">
        <is>
          <t>Usuario Administrativo autenticado; ODA con fecha de vencimiento = fecha actual del sistema (2026-06-03) y otra con vencimiento futuro (2026-07-15)</t>
        </is>
      </c>
      <c r="I317" s="2" t="inlineStr">
        <is>
          <t>1. Verificar la fecha actual del sistema (2026-06-03). 2. Generar el reporte de ODAS vencidas. 3. Buscar en el listado la ODA que vence hoy. 4. Buscar la ODA con vencimiento futuro</t>
        </is>
      </c>
      <c r="J317" s="2" t="inlineStr">
        <is>
          <t>Ni la ODA que vence exactamente hoy (regla estricta: vencida solo si vencimiento &lt; hoy) ni la de vencimiento futuro aparecen en el listado; quedarían cubiertas por la alerta de ODAS por vencer (EPIC-10), fuera de esta historia.</t>
        </is>
      </c>
      <c r="K317" s="2" t="inlineStr"/>
      <c r="L317" s="2" t="inlineStr"/>
      <c r="M317" s="2" t="inlineStr">
        <is>
          <t>P0</t>
        </is>
      </c>
      <c r="N317" s="4" t="inlineStr">
        <is>
          <t>Major</t>
        </is>
      </c>
      <c r="O317" s="2" t="inlineStr"/>
      <c r="P317" s="2" t="inlineStr"/>
      <c r="Q317" s="2" t="inlineStr">
        <is>
          <t>S2</t>
        </is>
      </c>
    </row>
    <row r="318">
      <c r="A318" s="2" t="inlineStr">
        <is>
          <t>EPIC-09</t>
        </is>
      </c>
      <c r="B318" s="2" t="inlineStr">
        <is>
          <t>TC-CEPA-097-004</t>
        </is>
      </c>
      <c r="C318" s="2" t="inlineStr">
        <is>
          <t>Security</t>
        </is>
      </c>
      <c r="D318" s="2" t="inlineStr">
        <is>
          <t>RBAC</t>
        </is>
      </c>
      <c r="E318" s="2" t="inlineStr">
        <is>
          <t>Control de acceso de reportes</t>
        </is>
      </c>
      <c r="F318" s="2" t="inlineStr">
        <is>
          <t>Verificar que Administrativo y Coordinación generan el reporte de ODAS vencidas y que Auditor accede en solo lectura.</t>
        </is>
      </c>
      <c r="G318" s="2" t="inlineStr">
        <is>
          <t>Web/API</t>
        </is>
      </c>
      <c r="H318" s="2" t="inlineStr">
        <is>
          <t>Usuarios de prueba: Administrativo, Coordinación y Auditor; ODAS vencidas registradas</t>
        </is>
      </c>
      <c r="I318" s="2" t="inlineStr">
        <is>
          <t>1. Iniciar sesión con Administrativo y generar el reporte de ODAS vencidas. 2. Iniciar sesión con Coordinación y generar el mismo reporte. 3. Iniciar sesión con Auditor, generar/descargar el reporte e intentar cualquier acción de edición sobre las ODAS listadas</t>
        </is>
      </c>
      <c r="J318" s="2" t="inlineStr">
        <is>
          <t>Administrativo y Coordinación generan el reporte correctamente; el Auditor lo consulta/descarga en solo lectura y toda edición es denegada; no existe perfil Clínico (D1).</t>
        </is>
      </c>
      <c r="K318" s="2" t="inlineStr"/>
      <c r="L318" s="2" t="inlineStr"/>
      <c r="M318" s="2" t="inlineStr">
        <is>
          <t>P0</t>
        </is>
      </c>
      <c r="N318" s="3" t="inlineStr">
        <is>
          <t>Critical</t>
        </is>
      </c>
      <c r="O318" s="2" t="inlineStr"/>
      <c r="P318" s="2" t="inlineStr"/>
      <c r="Q318" s="2" t="inlineStr">
        <is>
          <t>BR-5</t>
        </is>
      </c>
    </row>
    <row r="319">
      <c r="A319" s="2" t="inlineStr">
        <is>
          <t>EPIC-09</t>
        </is>
      </c>
      <c r="B319" s="2" t="inlineStr">
        <is>
          <t>TC-CEPA-097-005</t>
        </is>
      </c>
      <c r="C319" s="2" t="inlineStr">
        <is>
          <t>Business Rules</t>
        </is>
      </c>
      <c r="D319" s="2" t="inlineStr">
        <is>
          <t>Trazabilidad de auditoría</t>
        </is>
      </c>
      <c r="E319" s="2" t="inlineStr">
        <is>
          <t>Log de auditoría</t>
        </is>
      </c>
      <c r="F319" s="2" t="inlineStr">
        <is>
          <t>Verificar que la generación del reporte de ODAS vencidas queda trazada en el log de auditoría.</t>
        </is>
      </c>
      <c r="G319" s="2" t="inlineStr">
        <is>
          <t>Web/API</t>
        </is>
      </c>
      <c r="H319" s="2" t="inlineStr">
        <is>
          <t>Usuario Administrativo autenticado; acceso de consulta al log de auditoría</t>
        </is>
      </c>
      <c r="I319" s="2" t="inlineStr">
        <is>
          <t>1. Generar el reporte de ODAS vencidas. 2. Consultar el log de auditoría. 3. Buscar el evento de generación del reporte</t>
        </is>
      </c>
      <c r="J319" s="2" t="inlineStr">
        <is>
          <t>El log registra el evento con usuario, tipo de reporte (ODAS vencidas) y fecha/hora de la generación.</t>
        </is>
      </c>
      <c r="K319" s="2" t="inlineStr"/>
      <c r="L319" s="2" t="inlineStr"/>
      <c r="M319" s="2" t="inlineStr">
        <is>
          <t>P0</t>
        </is>
      </c>
      <c r="N319" s="4" t="inlineStr">
        <is>
          <t>Major</t>
        </is>
      </c>
      <c r="O319" s="2" t="inlineStr"/>
      <c r="P319" s="2" t="inlineStr"/>
      <c r="Q319" s="2" t="inlineStr">
        <is>
          <t>BR-6</t>
        </is>
      </c>
    </row>
    <row r="320">
      <c r="A320" s="2" t="inlineStr">
        <is>
          <t>EPIC-09</t>
        </is>
      </c>
      <c r="B320" s="2" t="inlineStr">
        <is>
          <t>TC-CEPA-097-006</t>
        </is>
      </c>
      <c r="C320" s="2" t="inlineStr">
        <is>
          <t>Functional</t>
        </is>
      </c>
      <c r="D320" s="2" t="inlineStr">
        <is>
          <t>Sin ODAS vencidas</t>
        </is>
      </c>
      <c r="E320" s="2" t="inlineStr">
        <is>
          <t>Generador de reporte de ODAS vencidas</t>
        </is>
      </c>
      <c r="F320" s="2" t="inlineStr">
        <is>
          <t>Verificar que si no existen ODAS vencidas el reporte muestra un listado vacío explícito, sin error.</t>
        </is>
      </c>
      <c r="G320" s="2" t="inlineStr">
        <is>
          <t>Web</t>
        </is>
      </c>
      <c r="H320" s="2" t="inlineStr">
        <is>
          <t>Usuario Administrativo autenticado; todas las ODAS registradas están vigentes (vencimiento posterior a la fecha actual)</t>
        </is>
      </c>
      <c r="I320" s="2" t="inlineStr">
        <is>
          <t>1. Verificar que no existen ODAS con vencimiento anterior a la fecha actual. 2. Generar el reporte de ODAS vencidas. 3. Revisar el resultado presentado</t>
        </is>
      </c>
      <c r="J320" s="2" t="inlineStr">
        <is>
          <t>El reporte se genera sin errores y presenta un listado vacío explícito (mensaje 'sin ODAS vencidas' o equivalente), sin registros erróneos.</t>
        </is>
      </c>
      <c r="K320" s="2" t="inlineStr"/>
      <c r="L320" s="2" t="inlineStr"/>
      <c r="M320" s="2" t="inlineStr">
        <is>
          <t>P0</t>
        </is>
      </c>
      <c r="N320" s="5" t="inlineStr">
        <is>
          <t>Medium</t>
        </is>
      </c>
      <c r="O320" s="2" t="inlineStr"/>
      <c r="P320" s="2" t="inlineStr"/>
      <c r="Q320" s="2" t="inlineStr">
        <is>
          <t>TC-legacy</t>
        </is>
      </c>
    </row>
    <row r="321">
      <c r="A321" s="2" t="inlineStr">
        <is>
          <t>EPIC-10</t>
        </is>
      </c>
      <c r="B321" s="2" t="inlineStr">
        <is>
          <t>TC-CEPA-100-001</t>
        </is>
      </c>
      <c r="C321" s="2" t="inlineStr">
        <is>
          <t>Functional</t>
        </is>
      </c>
      <c r="D321" s="2" t="inlineStr">
        <is>
          <t>Generación de alertas</t>
        </is>
      </c>
      <c r="E321" s="2" t="inlineStr">
        <is>
          <t>Motor de alertas</t>
        </is>
      </c>
      <c r="F321" s="2" t="inlineStr">
        <is>
          <t>Verificar que el job de revisión genera una alerta de 'próximo control médico' cuando un paciente tiene un control programado dentro de la ventana de aviso configurada.</t>
        </is>
      </c>
      <c r="G321" s="2" t="inlineStr">
        <is>
          <t>API</t>
        </is>
      </c>
      <c r="H321" s="2" t="inlineStr">
        <is>
          <t>Paciente (RUT 12.345.678-5) con control médico programado dentro de la ventana de aviso configurada; administrativo asignado al caso; job de alertas habilitado.</t>
        </is>
      </c>
      <c r="I321" s="2" t="inlineStr">
        <is>
          <t>1. Configurar la ventana de aviso del tipo 'próximo control médico' (ej. 3 días). 2. Registrar un control médico del paciente con fecha dentro de la ventana (hoy + 2 días). 3. Ejecutar el job de revisión de alertas. 4. Consultar las alertas generadas vía endpoint /api/v1 de alertas.</t>
        </is>
      </c>
      <c r="J321" s="2" t="inlineStr">
        <is>
          <t>Se genera una alerta de tipo 'próximo control médico' dirigida al administrativo asignado al caso, con referencia al paciente y al control programado.</t>
        </is>
      </c>
      <c r="K321" s="2" t="inlineStr"/>
      <c r="L321" s="2" t="inlineStr"/>
      <c r="M321" s="2" t="inlineStr">
        <is>
          <t>P0</t>
        </is>
      </c>
      <c r="N321" s="3" t="inlineStr">
        <is>
          <t>Critical</t>
        </is>
      </c>
      <c r="O321" s="2" t="inlineStr"/>
      <c r="P321" s="2" t="inlineStr"/>
      <c r="Q321" s="2" t="inlineStr">
        <is>
          <t>S1</t>
        </is>
      </c>
    </row>
    <row r="322">
      <c r="A322" s="2" t="inlineStr">
        <is>
          <t>EPIC-10</t>
        </is>
      </c>
      <c r="B322" s="2" t="inlineStr">
        <is>
          <t>TC-CEPA-100-002</t>
        </is>
      </c>
      <c r="C322" s="2" t="inlineStr">
        <is>
          <t>Functional</t>
        </is>
      </c>
      <c r="D322" s="2" t="inlineStr">
        <is>
          <t>Generación de alertas</t>
        </is>
      </c>
      <c r="E322" s="2" t="inlineStr">
        <is>
          <t>Motor de alertas</t>
        </is>
      </c>
      <c r="F322" s="2" t="inlineStr">
        <is>
          <t>Verificar que el job genera una alerta de 'vencimiento de licencia médica' cuando una licencia vence dentro de los próximos 3 días hábiles.</t>
        </is>
      </c>
      <c r="G322" s="2" t="inlineStr">
        <is>
          <t>API</t>
        </is>
      </c>
      <c r="H322" s="2" t="inlineStr">
        <is>
          <t>Licencia médica (LM folio 4587213) con fecha de vencimiento a 2 días hábiles de la fecha actual; administrativo asignado al caso; ventana de aviso de licencia en valor por defecto (3 días hábiles).</t>
        </is>
      </c>
      <c r="I322" s="2" t="inlineStr">
        <is>
          <t>1. Registrar una licencia médica folio 4587213 con vencimiento a hoy + 2 días hábiles. 2. Ejecutar el job de revisión programada de alertas. 3. Consultar las alertas activas del administrativo asignado.</t>
        </is>
      </c>
      <c r="J322" s="2" t="inlineStr">
        <is>
          <t>Se genera 1 alerta de tipo 'vencimiento de licencia médica' visible para el administrativo asignado, referenciando el folio de la licencia y su fecha de vencimiento.</t>
        </is>
      </c>
      <c r="K322" s="2" t="inlineStr"/>
      <c r="L322" s="2" t="inlineStr"/>
      <c r="M322" s="2" t="inlineStr">
        <is>
          <t>P0</t>
        </is>
      </c>
      <c r="N322" s="3" t="inlineStr">
        <is>
          <t>Critical</t>
        </is>
      </c>
      <c r="O322" s="2" t="inlineStr"/>
      <c r="P322" s="2" t="inlineStr"/>
      <c r="Q322" s="2" t="inlineStr">
        <is>
          <t>S1</t>
        </is>
      </c>
    </row>
    <row r="323">
      <c r="A323" s="2" t="inlineStr">
        <is>
          <t>EPIC-10</t>
        </is>
      </c>
      <c r="B323" s="2" t="inlineStr">
        <is>
          <t>TC-CEPA-100-003</t>
        </is>
      </c>
      <c r="C323" s="2" t="inlineStr">
        <is>
          <t>Functional</t>
        </is>
      </c>
      <c r="D323" s="2" t="inlineStr">
        <is>
          <t>Generación de alertas</t>
        </is>
      </c>
      <c r="E323" s="2" t="inlineStr">
        <is>
          <t>Motor de alertas</t>
        </is>
      </c>
      <c r="F323" s="2" t="inlineStr">
        <is>
          <t>Verificar que el job genera una alerta de 'plazo EPT/ISL por vencer' cuando un caso EPT tiene plazo de informe EPT o de entrega ISL dentro de la ventana de aviso.</t>
        </is>
      </c>
      <c r="G323" s="2" t="inlineStr">
        <is>
          <t>API</t>
        </is>
      </c>
      <c r="H323" s="2" t="inlineStr">
        <is>
          <t>Caso EPT con plazo de informe EPT dentro de la ventana de aviso y otro caso con plazo de entrega ISL dentro de la ventana; funcionario administrativo a cargo del EPT asignado.</t>
        </is>
      </c>
      <c r="I323" s="2" t="inlineStr">
        <is>
          <t>1. Registrar un caso EPT con plazo de informe EPT a hoy + 2 días hábiles. 2. Registrar un caso con plazo de entrega ISL a hoy + 2 días hábiles. 3. Ejecutar el job de revisión de alertas. 4. Consultar las alertas generadas para el funcionario a cargo del EPT.</t>
        </is>
      </c>
      <c r="J323" s="2" t="inlineStr">
        <is>
          <t>Se genera una alerta de 'plazo EPT/ISL por vencer' por cada plazo dentro de la ventana, dirigidas al funcionario administrativo a cargo del EPT.</t>
        </is>
      </c>
      <c r="K323" s="2" t="inlineStr"/>
      <c r="L323" s="2" t="inlineStr"/>
      <c r="M323" s="2" t="inlineStr">
        <is>
          <t>P0</t>
        </is>
      </c>
      <c r="N323" s="3" t="inlineStr">
        <is>
          <t>Critical</t>
        </is>
      </c>
      <c r="O323" s="2" t="inlineStr"/>
      <c r="P323" s="2" t="inlineStr"/>
      <c r="Q323" s="2" t="inlineStr">
        <is>
          <t>S1</t>
        </is>
      </c>
    </row>
    <row r="324">
      <c r="A324" s="2" t="inlineStr">
        <is>
          <t>EPIC-10</t>
        </is>
      </c>
      <c r="B324" s="2" t="inlineStr">
        <is>
          <t>TC-CEPA-100-004</t>
        </is>
      </c>
      <c r="C324" s="2" t="inlineStr">
        <is>
          <t>Functional</t>
        </is>
      </c>
      <c r="D324" s="2" t="inlineStr">
        <is>
          <t>Cumplimiento de protocolos</t>
        </is>
      </c>
      <c r="E324" s="2" t="inlineStr">
        <is>
          <t>Motor de alertas</t>
        </is>
      </c>
      <c r="F324" s="2" t="inlineStr">
        <is>
          <t>Verificar que el job genera una alerta de 'consentimiento informado pendiente' para casos en inicio de tratamiento sin consentimiento firmado registrado.</t>
        </is>
      </c>
      <c r="G324" s="2" t="inlineStr">
        <is>
          <t>API</t>
        </is>
      </c>
      <c r="H324" s="2" t="inlineStr">
        <is>
          <t>Caso de paciente (RUT 9.876.543-3) en estado de inicio de tratamiento sin flag/adjunto de consentimiento informado firmado registrado.</t>
        </is>
      </c>
      <c r="I324" s="2" t="inlineStr">
        <is>
          <t>1. Verificar que el caso está en estado 'inicio de tratamiento' y sin consentimiento firmado registrado. 2. Ejecutar el job de revisión de alertas. 3. Consultar las alertas del caso.</t>
        </is>
      </c>
      <c r="J324" s="2" t="inlineStr">
        <is>
          <t>Se genera una alerta de tipo 'consentimiento informado pendiente' asociada al caso.</t>
        </is>
      </c>
      <c r="K324" s="2" t="inlineStr"/>
      <c r="L324" s="2" t="inlineStr"/>
      <c r="M324" s="2" t="inlineStr">
        <is>
          <t>P0</t>
        </is>
      </c>
      <c r="N324" s="3" t="inlineStr">
        <is>
          <t>Critical</t>
        </is>
      </c>
      <c r="O324" s="2" t="inlineStr"/>
      <c r="P324" s="2" t="inlineStr"/>
      <c r="Q324" s="2" t="inlineStr">
        <is>
          <t>S1</t>
        </is>
      </c>
    </row>
    <row r="325">
      <c r="A325" s="2" t="inlineStr">
        <is>
          <t>EPIC-10</t>
        </is>
      </c>
      <c r="B325" s="2" t="inlineStr">
        <is>
          <t>TC-CEPA-100-005</t>
        </is>
      </c>
      <c r="C325" s="2" t="inlineStr">
        <is>
          <t>Functional</t>
        </is>
      </c>
      <c r="D325" s="2" t="inlineStr">
        <is>
          <t>Generación de alertas</t>
        </is>
      </c>
      <c r="E325" s="2" t="inlineStr">
        <is>
          <t>Motor de alertas</t>
        </is>
      </c>
      <c r="F325" s="2" t="inlineStr">
        <is>
          <t>Verificar que el job genera una alerta de 'receta por renovar/gestionar' cuando una receta tiene fecha de revisión dentro de los próximos 5 días.</t>
        </is>
      </c>
      <c r="G325" s="2" t="inlineStr">
        <is>
          <t>API</t>
        </is>
      </c>
      <c r="H325" s="2" t="inlineStr">
        <is>
          <t>Receta registrada con fecha de revisión a hoy + 4 días; administrativo asignado al caso; ventana de aviso de receta en valor por defecto (5 días).</t>
        </is>
      </c>
      <c r="I325" s="2" t="inlineStr">
        <is>
          <t>1. Registrar una receta con fecha de revisión a hoy + 4 días para el paciente RUT 12.345.678-5. 2. Ejecutar el job de revisión de alertas. 3. Consultar las alertas del administrativo asignado.</t>
        </is>
      </c>
      <c r="J325" s="2" t="inlineStr">
        <is>
          <t>Se genera una alerta de tipo 'receta por renovar/gestionar' dirigida al administrativo asignado, referenciando la receta y su fecha de revisión.</t>
        </is>
      </c>
      <c r="K325" s="2" t="inlineStr"/>
      <c r="L325" s="2" t="inlineStr"/>
      <c r="M325" s="2" t="inlineStr">
        <is>
          <t>P0</t>
        </is>
      </c>
      <c r="N325" s="3" t="inlineStr">
        <is>
          <t>Critical</t>
        </is>
      </c>
      <c r="O325" s="2" t="inlineStr"/>
      <c r="P325" s="2" t="inlineStr"/>
      <c r="Q325" s="2" t="inlineStr">
        <is>
          <t>S1</t>
        </is>
      </c>
    </row>
    <row r="326">
      <c r="A326" s="2" t="inlineStr">
        <is>
          <t>EPIC-10</t>
        </is>
      </c>
      <c r="B326" s="2" t="inlineStr">
        <is>
          <t>TC-CEPA-100-006</t>
        </is>
      </c>
      <c r="C326" s="2" t="inlineStr">
        <is>
          <t>Functional</t>
        </is>
      </c>
      <c r="D326" s="2" t="inlineStr">
        <is>
          <t>Generación de alertas (ODAS)</t>
        </is>
      </c>
      <c r="E326" s="2" t="inlineStr">
        <is>
          <t>Motor de alertas</t>
        </is>
      </c>
      <c r="F326" s="2" t="inlineStr">
        <is>
          <t>Verificar que el job genera una alerta de 'ODA por vencer' cuando una Orden de Primera Atención tiene fecha de vencimiento dentro de la ventana de aviso (v4 D3).</t>
        </is>
      </c>
      <c r="G326" s="2" t="inlineStr">
        <is>
          <t>API</t>
        </is>
      </c>
      <c r="H326" s="2" t="inlineStr">
        <is>
          <t>ODA (Orden de Primera Atención) registrada con fecha de vencimiento dentro de la ventana de aviso configurada; administrativo asignado al caso.</t>
        </is>
      </c>
      <c r="I326" s="2" t="inlineStr">
        <is>
          <t>1. Registrar una ODA con fecha de vencimiento a hoy + N días (dentro de la ventana configurada según D3). 2. Ejecutar el job de revisión de alertas. 3. Consultar las alertas generadas para el administrativo asignado.</t>
        </is>
      </c>
      <c r="J326" s="2" t="inlineStr">
        <is>
          <t>Se genera una alerta de tipo 'ODA por vencer' dirigida al administrativo asignado, con referencia a la ODA y su fecha de vencimiento.</t>
        </is>
      </c>
      <c r="K326" s="2" t="inlineStr"/>
      <c r="L326" s="2" t="inlineStr"/>
      <c r="M326" s="2" t="inlineStr">
        <is>
          <t>P0</t>
        </is>
      </c>
      <c r="N326" s="3" t="inlineStr">
        <is>
          <t>Critical</t>
        </is>
      </c>
      <c r="O326" s="2" t="inlineStr"/>
      <c r="P326" s="2" t="inlineStr"/>
      <c r="Q326" s="2" t="inlineStr">
        <is>
          <t>S1</t>
        </is>
      </c>
    </row>
    <row r="327">
      <c r="A327" s="2" t="inlineStr">
        <is>
          <t>EPIC-10</t>
        </is>
      </c>
      <c r="B327" s="2" t="inlineStr">
        <is>
          <t>TC-CEPA-100-007</t>
        </is>
      </c>
      <c r="C327" s="2" t="inlineStr">
        <is>
          <t>Functional</t>
        </is>
      </c>
      <c r="D327" s="2" t="inlineStr">
        <is>
          <t>Idempotencia</t>
        </is>
      </c>
      <c r="E327" s="2" t="inlineStr">
        <is>
          <t>Motor de alertas</t>
        </is>
      </c>
      <c r="F327" s="2" t="inlineStr">
        <is>
          <t>Verificar que el job no crea alertas duplicadas cuando ya existe una alerta activa para el mismo plazo y caso (idempotencia).</t>
        </is>
      </c>
      <c r="G327" s="2" t="inlineStr">
        <is>
          <t>API</t>
        </is>
      </c>
      <c r="H327" s="2" t="inlineStr">
        <is>
          <t>Alerta activa ya generada para la combinación (caso, tipo 'vencimiento de licencia médica', plazo objetivo LM folio 4587213); el plazo no ha cambiado ni la alerta ha sido resuelta.</t>
        </is>
      </c>
      <c r="I327" s="2" t="inlineStr">
        <is>
          <t>1. Ejecutar el job de revisión de alertas y verificar la existencia de la alerta activa. 2. Volver a ejecutar el job de revisión de alertas sin modificar el plazo ni resolver la alerta. 3. Consultar las alertas activas de la combinación (caso, tipo, plazo).</t>
        </is>
      </c>
      <c r="J327" s="2" t="inlineStr">
        <is>
          <t>Existe una única alerta activa para la combinación (caso, tipo de alerta, plazo objetivo); la segunda ejecución del job no crea duplicados.</t>
        </is>
      </c>
      <c r="K327" s="2" t="inlineStr"/>
      <c r="L327" s="2" t="inlineStr"/>
      <c r="M327" s="2" t="inlineStr">
        <is>
          <t>P0</t>
        </is>
      </c>
      <c r="N327" s="3" t="inlineStr">
        <is>
          <t>Critical</t>
        </is>
      </c>
      <c r="O327" s="2" t="inlineStr"/>
      <c r="P327" s="2" t="inlineStr"/>
      <c r="Q327" s="2" t="inlineStr">
        <is>
          <t>S2</t>
        </is>
      </c>
    </row>
    <row r="328">
      <c r="A328" s="2" t="inlineStr">
        <is>
          <t>EPIC-10</t>
        </is>
      </c>
      <c r="B328" s="2" t="inlineStr">
        <is>
          <t>TC-CEPA-100-008</t>
        </is>
      </c>
      <c r="C328" s="2" t="inlineStr">
        <is>
          <t>Functional</t>
        </is>
      </c>
      <c r="D328" s="2" t="inlineStr">
        <is>
          <t>Cobertura OU4</t>
        </is>
      </c>
      <c r="E328" s="2" t="inlineStr">
        <is>
          <t>Motor de alertas</t>
        </is>
      </c>
      <c r="F328" s="2" t="inlineStr">
        <is>
          <t>Verificar que todo plazo perentorio de los tipos soportados tiene al menos una alerta previa registrada al llegar su fecha de vencimiento (0% de vencimientos sin alerta — OU4).</t>
        </is>
      </c>
      <c r="G328" s="2" t="inlineStr">
        <is>
          <t>API</t>
        </is>
      </c>
      <c r="H328" s="2" t="inlineStr">
        <is>
          <t>Conjunto de datos con un plazo de cada uno de los 7 tipos soportados (control médico, licencia, informe EPT, entrega ISL, consentimiento, receta, ODA) con fechas de vencimiento próximas; job de alertas ejecutándose diariamente.</t>
        </is>
      </c>
      <c r="I328" s="2" t="inlineStr">
        <is>
          <t>1. Registrar un plazo de cada tipo soportado con vencimiento dentro de los próximos días. 2. Ejecutar el job de revisión diariamente hasta que cada plazo llegue a su fecha de vencimiento. 3. Al vencer cada plazo, consultar el registro/trazabilidad de alertas del caso correspondiente.</t>
        </is>
      </c>
      <c r="J328" s="2" t="inlineStr">
        <is>
          <t>Para cada plazo vencido existe registro de al menos una alerta generada antes de su vencimiento; ningún plazo vence sin alerta previa (0% de vencimientos sin alerta).</t>
        </is>
      </c>
      <c r="K328" s="2" t="inlineStr"/>
      <c r="L328" s="2" t="inlineStr"/>
      <c r="M328" s="2" t="inlineStr">
        <is>
          <t>P0</t>
        </is>
      </c>
      <c r="N328" s="3" t="inlineStr">
        <is>
          <t>Critical</t>
        </is>
      </c>
      <c r="O328" s="2" t="inlineStr"/>
      <c r="P328" s="2" t="inlineStr"/>
      <c r="Q328" s="2" t="inlineStr">
        <is>
          <t>S1</t>
        </is>
      </c>
    </row>
    <row r="329">
      <c r="A329" s="2" t="inlineStr">
        <is>
          <t>EPIC-10</t>
        </is>
      </c>
      <c r="B329" s="2" t="inlineStr">
        <is>
          <t>TC-CEPA-100-009</t>
        </is>
      </c>
      <c r="C329" s="2" t="inlineStr">
        <is>
          <t>Business Rules</t>
        </is>
      </c>
      <c r="D329" s="2" t="inlineStr">
        <is>
          <t>Programación del job</t>
        </is>
      </c>
      <c r="E329" s="2" t="inlineStr">
        <is>
          <t>Planificador del job de alertas</t>
        </is>
      </c>
      <c r="F329" s="2" t="inlineStr">
        <is>
          <t>Verificar que el job de revisión se ejecuta de forma programada en días hábiles, con frecuencia configurable (al menos una corrida diaria) y respetando la ventana de mantenimiento nocturna.</t>
        </is>
      </c>
      <c r="G329" s="2" t="inlineStr">
        <is>
          <t>API</t>
        </is>
      </c>
      <c r="H329" s="2" t="inlineStr">
        <is>
          <t>Job de alertas configurado con frecuencia diaria; ventana de mantenimiento nocturna definida en el ambiente QA.</t>
        </is>
      </c>
      <c r="I329" s="2" t="inlineStr">
        <is>
          <t>1. Configurar la frecuencia del job en una corrida diaria en horario hábil. 2. Esperar/simular el paso de dos días hábiles y un fin de semana. 3. Consultar el historial/log de ejecuciones del job. 4. Modificar la frecuencia de ejecución (ej. dos corridas diarias) y verificar que la configuración se aplica.</t>
        </is>
      </c>
      <c r="J329" s="2" t="inlineStr">
        <is>
          <t>El job se ejecuta automáticamente según la programación configurada (al menos una vez por día hábil), no se ejecuta dentro de la ventana de mantenimiento nocturna y la frecuencia es modificable por configuración.</t>
        </is>
      </c>
      <c r="K329" s="2" t="inlineStr"/>
      <c r="L329" s="2" t="inlineStr"/>
      <c r="M329" s="2" t="inlineStr">
        <is>
          <t>P0</t>
        </is>
      </c>
      <c r="N329" s="4" t="inlineStr">
        <is>
          <t>Major</t>
        </is>
      </c>
      <c r="O329" s="2" t="inlineStr"/>
      <c r="P329" s="2" t="inlineStr"/>
      <c r="Q329" s="2" t="inlineStr">
        <is>
          <t>BR-2</t>
        </is>
      </c>
    </row>
    <row r="330">
      <c r="A330" s="2" t="inlineStr">
        <is>
          <t>EPIC-10</t>
        </is>
      </c>
      <c r="B330" s="2" t="inlineStr">
        <is>
          <t>TC-CEPA-100-010</t>
        </is>
      </c>
      <c r="C330" s="2" t="inlineStr">
        <is>
          <t>Business Rules</t>
        </is>
      </c>
      <c r="D330" s="2" t="inlineStr">
        <is>
          <t>Parametrización de ventanas</t>
        </is>
      </c>
      <c r="E330" s="2" t="inlineStr">
        <is>
          <t>Configuración de ventanas de aviso</t>
        </is>
      </c>
      <c r="F330" s="2" t="inlineStr">
        <is>
          <t>Verificar que la ventana de aviso de cada tipo de alerta es parametrizable y que los valores por defecto son licencia 3 días hábiles y receta 5 días.</t>
        </is>
      </c>
      <c r="G330" s="2" t="inlineStr">
        <is>
          <t>API</t>
        </is>
      </c>
      <c r="H330" s="2" t="inlineStr">
        <is>
          <t>Sistema con configuración de ventanas de aviso en valores por defecto; licencia LM folio 7712345 con vencimiento a hoy + 6 días hábiles.</t>
        </is>
      </c>
      <c r="I330" s="2" t="inlineStr">
        <is>
          <t>1. Consultar la configuración de ventanas de aviso y verificar los valores por defecto (licencia = 3 días hábiles, receta = 5 días). 2. Ejecutar el job con la licencia venciendo a +6 días hábiles. 3. Modificar la ventana de aviso de licencia a 7 días hábiles. 4. Volver a ejecutar el job. 5. Consultar las alertas generadas tras cada ejecución.</t>
        </is>
      </c>
      <c r="J330" s="2" t="inlineStr">
        <is>
          <t>Con la ventana por defecto (3 días hábiles) no se genera alerta para la licencia a +6 días; tras ampliar la ventana a 7 días hábiles, el job genera la alerta de vencimiento; el cambio de parámetro surte efecto sin despliegue.</t>
        </is>
      </c>
      <c r="K330" s="2" t="inlineStr"/>
      <c r="L330" s="2" t="inlineStr"/>
      <c r="M330" s="2" t="inlineStr">
        <is>
          <t>P0</t>
        </is>
      </c>
      <c r="N330" s="4" t="inlineStr">
        <is>
          <t>Major</t>
        </is>
      </c>
      <c r="O330" s="2" t="inlineStr"/>
      <c r="P330" s="2" t="inlineStr"/>
      <c r="Q330" s="2" t="inlineStr">
        <is>
          <t>BR-3</t>
        </is>
      </c>
    </row>
    <row r="331">
      <c r="A331" s="2" t="inlineStr">
        <is>
          <t>EPIC-10</t>
        </is>
      </c>
      <c r="B331" s="2" t="inlineStr">
        <is>
          <t>TC-CEPA-100-011</t>
        </is>
      </c>
      <c r="C331" s="2" t="inlineStr">
        <is>
          <t>Security</t>
        </is>
      </c>
      <c r="D331" s="2" t="inlineStr">
        <is>
          <t>Direccionamiento por rol</t>
        </is>
      </c>
      <c r="E331" s="2" t="inlineStr">
        <is>
          <t>Motor de alertas</t>
        </is>
      </c>
      <c r="F331" s="2" t="inlineStr">
        <is>
          <t>Verificar que las alertas se dirigen al administrativo asignado del caso, que el job corre con cuenta de servicio sin sesión de usuario, y que ningún perfil Clínico recibe alertas (D1).</t>
        </is>
      </c>
      <c r="G331" s="2" t="inlineStr">
        <is>
          <t>API</t>
        </is>
      </c>
      <c r="H331" s="2" t="inlineStr">
        <is>
          <t>Job programado configurado con cuenta de servicio (sin sesión de usuario); caso con administrativo asignado (Admin A) y plazo dentro de ventana; en el sistema no existe perfil Clínico (D1).</t>
        </is>
      </c>
      <c r="I331" s="2" t="inlineStr">
        <is>
          <t>1. Ejecutar el job de alertas mediante la cuenta de servicio, sin sesión de usuario interactiva. 2. Consultar el destinatario de la alerta generada para el caso de Admin A. 3. Consultar los roles existentes en el sistema y los destinatarios posibles de alertas.</t>
        </is>
      </c>
      <c r="J331" s="2" t="inlineStr">
        <is>
          <t>El job se ejecuta correctamente sin requerir usuario interactivo; la alerta queda dirigida al administrativo asignado (Admin A); no existe perfil Clínico como destinatario y ninguna alerta se expone a dicho perfil.</t>
        </is>
      </c>
      <c r="K331" s="2" t="inlineStr"/>
      <c r="L331" s="2" t="inlineStr"/>
      <c r="M331" s="2" t="inlineStr">
        <is>
          <t>P0</t>
        </is>
      </c>
      <c r="N331" s="4" t="inlineStr">
        <is>
          <t>Major</t>
        </is>
      </c>
      <c r="O331" s="2" t="inlineStr"/>
      <c r="P331" s="2" t="inlineStr"/>
      <c r="Q331" s="2" t="inlineStr">
        <is>
          <t>BR-5</t>
        </is>
      </c>
    </row>
    <row r="332">
      <c r="A332" s="2" t="inlineStr">
        <is>
          <t>EPIC-10</t>
        </is>
      </c>
      <c r="B332" s="2" t="inlineStr">
        <is>
          <t>TC-CEPA-100-012</t>
        </is>
      </c>
      <c r="C332" s="2" t="inlineStr">
        <is>
          <t>Business Rules</t>
        </is>
      </c>
      <c r="D332" s="2" t="inlineStr">
        <is>
          <t>Cálculo de días hábiles</t>
        </is>
      </c>
      <c r="E332" s="2" t="inlineStr">
        <is>
          <t>Calculador de plazos en días hábiles</t>
        </is>
      </c>
      <c r="F332" s="2" t="inlineStr">
        <is>
          <t>Verificar que el cálculo de la ventana de aviso respeta días hábiles cuando el plazo regulatorio lo define (licencias, EPT/ISL), incluyendo plazos que caen en fin de semana.</t>
        </is>
      </c>
      <c r="G332" s="2" t="inlineStr">
        <is>
          <t>API</t>
        </is>
      </c>
      <c r="H332" s="2" t="inlineStr">
        <is>
          <t>Licencia médica con vencimiento un lunes; fecha actual el miércoles anterior (3 días hábiles antes considerando el fin de semana); ventana de licencia = 3 días hábiles.</t>
        </is>
      </c>
      <c r="I332" s="2" t="inlineStr">
        <is>
          <t>1. Registrar una licencia médica con vencimiento el lunes siguiente (LM folio 9901234). 2. Situar/simular la fecha del sistema en el miércoles anterior. 3. Ejecutar el job de revisión de alertas. 4. Repetir con una licencia que vence viernes y ejecución del job el martes anterior. 5. Consultar las alertas generadas.</t>
        </is>
      </c>
      <c r="J332" s="2" t="inlineStr">
        <is>
          <t>El cálculo de la ventana excluye sábados, domingos y festivos: la alerta se genera exactamente cuando el vencimiento queda a 3 días hábiles o menos, aunque medien fines de semana.</t>
        </is>
      </c>
      <c r="K332" s="2" t="inlineStr"/>
      <c r="L332" s="2" t="inlineStr"/>
      <c r="M332" s="2" t="inlineStr">
        <is>
          <t>P0</t>
        </is>
      </c>
      <c r="N332" s="4" t="inlineStr">
        <is>
          <t>Major</t>
        </is>
      </c>
      <c r="O332" s="2" t="inlineStr"/>
      <c r="P332" s="2" t="inlineStr"/>
      <c r="Q332" s="2" t="inlineStr">
        <is>
          <t>BR-6</t>
        </is>
      </c>
    </row>
    <row r="333">
      <c r="A333" s="2" t="inlineStr">
        <is>
          <t>EPIC-10</t>
        </is>
      </c>
      <c r="B333" s="2" t="inlineStr">
        <is>
          <t>TC-CEPA-100-013</t>
        </is>
      </c>
      <c r="C333" s="2" t="inlineStr">
        <is>
          <t>Business Rules</t>
        </is>
      </c>
      <c r="D333" s="2" t="inlineStr">
        <is>
          <t>Log de auditoría</t>
        </is>
      </c>
      <c r="E333" s="2" t="inlineStr">
        <is>
          <t>Log de auditoría de alertas</t>
        </is>
      </c>
      <c r="F333" s="2" t="inlineStr">
        <is>
          <t>Verificar que la generación y la resolución de alertas se registran en el log de auditoría (OI1).</t>
        </is>
      </c>
      <c r="G333" s="2" t="inlineStr">
        <is>
          <t>API</t>
        </is>
      </c>
      <c r="H333" s="2" t="inlineStr">
        <is>
          <t>Licencia con vencimiento dentro de ventana; usuario administrativo autenticado con permiso para resolver alertas; acceso de consulta al log de auditoría.</t>
        </is>
      </c>
      <c r="I333" s="2" t="inlineStr">
        <is>
          <t>1. Ejecutar el job de alertas y generar una alerta de vencimiento de licencia. 2. Consultar el log de auditoría por el evento de generación. 3. Como administrativo asignado, resolver la alerta. 4. Consultar el log de auditoría por el evento de resolución.</t>
        </is>
      </c>
      <c r="J333" s="2" t="inlineStr">
        <is>
          <t>El log de auditoría contiene un registro de la generación de la alerta (tipo, caso, fecha/hora) y otro de su resolución (usuario, fecha/hora), garantizando la trazabilidad para auditar OU4.</t>
        </is>
      </c>
      <c r="K333" s="2" t="inlineStr"/>
      <c r="L333" s="2" t="inlineStr"/>
      <c r="M333" s="2" t="inlineStr">
        <is>
          <t>P0</t>
        </is>
      </c>
      <c r="N333" s="4" t="inlineStr">
        <is>
          <t>Major</t>
        </is>
      </c>
      <c r="O333" s="2" t="inlineStr"/>
      <c r="P333" s="2" t="inlineStr"/>
      <c r="Q333" s="2" t="inlineStr">
        <is>
          <t>BR-8</t>
        </is>
      </c>
    </row>
    <row r="334">
      <c r="A334" s="2" t="inlineStr">
        <is>
          <t>EPIC-10</t>
        </is>
      </c>
      <c r="B334" s="2" t="inlineStr">
        <is>
          <t>TC-CEPA-100-014</t>
        </is>
      </c>
      <c r="C334" s="2" t="inlineStr">
        <is>
          <t>Functional</t>
        </is>
      </c>
      <c r="D334" s="2" t="inlineStr">
        <is>
          <t>Fuera de ventana de aviso</t>
        </is>
      </c>
      <c r="E334" s="2" t="inlineStr">
        <is>
          <t>Motor de alertas</t>
        </is>
      </c>
      <c r="F334" s="2" t="inlineStr">
        <is>
          <t>Verificar que no se genera alerta de vencimiento para una licencia médica que vence fuera de la ventana de aviso (ej. en 30 días).</t>
        </is>
      </c>
      <c r="G334" s="2" t="inlineStr">
        <is>
          <t>API</t>
        </is>
      </c>
      <c r="H334" s="2" t="inlineStr">
        <is>
          <t>Licencia médica (LM folio 3345678) con vencimiento a hoy + 30 días; ventana de aviso de licencia en valor por defecto (3 días hábiles).</t>
        </is>
      </c>
      <c r="I334" s="2" t="inlineStr">
        <is>
          <t>1. Registrar la licencia médica con vencimiento a hoy + 30 días. 2. Ejecutar el job de revisión de alertas. 3. Consultar las alertas activas del caso.</t>
        </is>
      </c>
      <c r="J334" s="2" t="inlineStr">
        <is>
          <t>No se genera ninguna alerta de 'vencimiento de licencia médica' para la licencia fuera de la ventana de aviso.</t>
        </is>
      </c>
      <c r="K334" s="2" t="inlineStr"/>
      <c r="L334" s="2" t="inlineStr"/>
      <c r="M334" s="2" t="inlineStr">
        <is>
          <t>P0</t>
        </is>
      </c>
      <c r="N334" s="4" t="inlineStr">
        <is>
          <t>Major</t>
        </is>
      </c>
      <c r="O334" s="2" t="inlineStr"/>
      <c r="P334" s="2" t="inlineStr"/>
      <c r="Q334" s="2" t="inlineStr">
        <is>
          <t>TC-legacy</t>
        </is>
      </c>
    </row>
    <row r="335">
      <c r="A335" s="2" t="inlineStr">
        <is>
          <t>EPIC-10</t>
        </is>
      </c>
      <c r="B335" s="2" t="inlineStr">
        <is>
          <t>TC-CEPA-101-001</t>
        </is>
      </c>
      <c r="C335" s="2" t="inlineStr">
        <is>
          <t>Functional</t>
        </is>
      </c>
      <c r="D335" s="2" t="inlineStr">
        <is>
          <t>Panel al iniciar sesión</t>
        </is>
      </c>
      <c r="E335" s="2" t="inlineStr">
        <is>
          <t>Panel de notificaciones in-app</t>
        </is>
      </c>
      <c r="F335" s="2" t="inlineStr">
        <is>
          <t>Verificar que un usuario con alertas pendientes ve el panel de notificaciones con sus alertas activas al iniciar sesión.</t>
        </is>
      </c>
      <c r="G335" s="2" t="inlineStr">
        <is>
          <t>Web</t>
        </is>
      </c>
      <c r="H335" s="2" t="inlineStr">
        <is>
          <t>Usuario administrativo (Admin A) con 3 alertas pendientes asignadas generadas por el motor de alertas; credenciales válidas.</t>
        </is>
      </c>
      <c r="I335" s="2" t="inlineStr">
        <is>
          <t>1. Navegar a la página de inicio de sesión del CEPA. 2. Ingresar las credenciales del Admin A. 3. Hacer clic en 'Ingresar'. 4. Observar la pantalla inicial posterior al login.</t>
        </is>
      </c>
      <c r="J335" s="2" t="inlineStr">
        <is>
          <t>El panel de notificaciones es visible desde el inicio de la sesión y muestra las 3 alertas activas pendientes del usuario.</t>
        </is>
      </c>
      <c r="K335" s="2" t="inlineStr"/>
      <c r="L335" s="2" t="inlineStr"/>
      <c r="M335" s="2" t="inlineStr">
        <is>
          <t>P0</t>
        </is>
      </c>
      <c r="N335" s="3" t="inlineStr">
        <is>
          <t>Critical</t>
        </is>
      </c>
      <c r="O335" s="2" t="inlineStr"/>
      <c r="P335" s="2" t="inlineStr"/>
      <c r="Q335" s="2" t="inlineStr">
        <is>
          <t>S1</t>
        </is>
      </c>
    </row>
    <row r="336">
      <c r="A336" s="2" t="inlineStr">
        <is>
          <t>EPIC-10</t>
        </is>
      </c>
      <c r="B336" s="2" t="inlineStr">
        <is>
          <t>TC-CEPA-101-002</t>
        </is>
      </c>
      <c r="C336" s="2" t="inlineStr">
        <is>
          <t>Security</t>
        </is>
      </c>
      <c r="D336" s="2" t="inlineStr">
        <is>
          <t>RBAC / segregación por asignación</t>
        </is>
      </c>
      <c r="E336" s="2" t="inlineStr">
        <is>
          <t>Panel de notificaciones in-app</t>
        </is>
      </c>
      <c r="F336" s="2" t="inlineStr">
        <is>
          <t>Verificar que un administrativo solo ve las alertas de sus pacientes/casos asignados y no las de otros administrativos.</t>
        </is>
      </c>
      <c r="G336" s="2" t="inlineStr">
        <is>
          <t>Web</t>
        </is>
      </c>
      <c r="H336" s="2" t="inlineStr">
        <is>
          <t>Admin A con casos asignados y alertas propias; Admin B con casos distintos y alertas propias; ambos usuarios activos.</t>
        </is>
      </c>
      <c r="I336" s="2" t="inlineStr">
        <is>
          <t>1. Iniciar sesión como Admin A. 2. Abrir el panel de notificaciones. 3. Revisar el listado completo de alertas mostradas. 4. Consultar adicionalmente el endpoint de notificaciones con el token de Admin A.</t>
        </is>
      </c>
      <c r="J336" s="2" t="inlineStr">
        <is>
          <t>Admin A ve únicamente las alertas de sus pacientes/casos asignados; ninguna alerta de los casos de Admin B aparece en el panel ni en la respuesta del API.</t>
        </is>
      </c>
      <c r="K336" s="2" t="inlineStr"/>
      <c r="L336" s="2" t="inlineStr"/>
      <c r="M336" s="2" t="inlineStr">
        <is>
          <t>P0</t>
        </is>
      </c>
      <c r="N336" s="3" t="inlineStr">
        <is>
          <t>Critical</t>
        </is>
      </c>
      <c r="O336" s="2" t="inlineStr"/>
      <c r="P336" s="2" t="inlineStr"/>
      <c r="Q336" s="2" t="inlineStr">
        <is>
          <t>S3</t>
        </is>
      </c>
    </row>
    <row r="337">
      <c r="A337" s="2" t="inlineStr">
        <is>
          <t>EPIC-10</t>
        </is>
      </c>
      <c r="B337" s="2" t="inlineStr">
        <is>
          <t>TC-CEPA-101-003</t>
        </is>
      </c>
      <c r="C337" s="2" t="inlineStr">
        <is>
          <t>Security</t>
        </is>
      </c>
      <c r="D337" s="2" t="inlineStr">
        <is>
          <t>RBAC / alcance ampliado</t>
        </is>
      </c>
      <c r="E337" s="2" t="inlineStr">
        <is>
          <t>Panel de notificaciones in-app</t>
        </is>
      </c>
      <c r="F337" s="2" t="inlineStr">
        <is>
          <t>Verificar que Coordinación y Auditor ven alertas según su alcance ampliado sin capacidad de editar datos clínicos.</t>
        </is>
      </c>
      <c r="G337" s="2" t="inlineStr">
        <is>
          <t>Web</t>
        </is>
      </c>
      <c r="H337" s="2" t="inlineStr">
        <is>
          <t>Usuario Coordinación y usuario Auditor activos; alertas existentes en varios módulos/casos del sistema.</t>
        </is>
      </c>
      <c r="I337" s="2" t="inlineStr">
        <is>
          <t>1. Iniciar sesión como usuario Coordinación y abrir el panel de notificaciones. 2. Verificar el conjunto de alertas visibles según su alcance. 3. Iniciar sesión como usuario Auditor y abrir el panel. 4. Desde una alerta, intentar editar un dato clínico del caso de origen.</t>
        </is>
      </c>
      <c r="J337" s="2" t="inlineStr">
        <is>
          <t>Coordinación y Auditor ven las alertas según su alcance (lectura total / módulos correspondientes); el Auditor accede en modo lectura y el intento de edición de datos clínicos es rechazado/no disponible.</t>
        </is>
      </c>
      <c r="K337" s="2" t="inlineStr"/>
      <c r="L337" s="2" t="inlineStr"/>
      <c r="M337" s="2" t="inlineStr">
        <is>
          <t>P0</t>
        </is>
      </c>
      <c r="N337" s="3" t="inlineStr">
        <is>
          <t>Critical</t>
        </is>
      </c>
      <c r="O337" s="2" t="inlineStr"/>
      <c r="P337" s="2" t="inlineStr"/>
      <c r="Q337" s="2" t="inlineStr">
        <is>
          <t>S3</t>
        </is>
      </c>
    </row>
    <row r="338">
      <c r="A338" s="2" t="inlineStr">
        <is>
          <t>EPIC-10</t>
        </is>
      </c>
      <c r="B338" s="2" t="inlineStr">
        <is>
          <t>TC-CEPA-101-004</t>
        </is>
      </c>
      <c r="C338" s="2" t="inlineStr">
        <is>
          <t>Functional</t>
        </is>
      </c>
      <c r="D338" s="2" t="inlineStr">
        <is>
          <t>Estados de notificación</t>
        </is>
      </c>
      <c r="E338" s="2" t="inlineStr">
        <is>
          <t>Panel de notificaciones in-app</t>
        </is>
      </c>
      <c r="F338" s="2" t="inlineStr">
        <is>
          <t>Verificar que al marcar una alerta como leída o resuelta cambia de estado, deja de contarse como pendiente y la acción queda registrada.</t>
        </is>
      </c>
      <c r="G338" s="2" t="inlineStr">
        <is>
          <t>Web</t>
        </is>
      </c>
      <c r="H338" s="2" t="inlineStr">
        <is>
          <t>Usuario administrativo autenticado con una alerta en estado pendiente visible en su panel; acceso de consulta al log de auditoría.</t>
        </is>
      </c>
      <c r="I338" s="2" t="inlineStr">
        <is>
          <t>1. Abrir el panel de notificaciones. 2. Marcar la alerta como 'leída'. 3. Verificar el contador de pendientes. 4. Marcar la misma alerta como 'resuelta'. 5. Consultar el log de auditoría por los cambios de estado.</t>
        </is>
      </c>
      <c r="J338" s="2" t="inlineStr">
        <is>
          <t>La alerta transita pendiente → leída → resuelta, deja de contarse como pendiente, y cada cambio de estado queda registrado en el log de auditoría con usuario y fecha/hora.</t>
        </is>
      </c>
      <c r="K338" s="2" t="inlineStr"/>
      <c r="L338" s="2" t="inlineStr"/>
      <c r="M338" s="2" t="inlineStr">
        <is>
          <t>P0</t>
        </is>
      </c>
      <c r="N338" s="3" t="inlineStr">
        <is>
          <t>Critical</t>
        </is>
      </c>
      <c r="O338" s="2" t="inlineStr"/>
      <c r="P338" s="2" t="inlineStr"/>
      <c r="Q338" s="2" t="inlineStr">
        <is>
          <t>S1</t>
        </is>
      </c>
    </row>
    <row r="339">
      <c r="A339" s="2" t="inlineStr">
        <is>
          <t>EPIC-10</t>
        </is>
      </c>
      <c r="B339" s="2" t="inlineStr">
        <is>
          <t>TC-CEPA-101-005</t>
        </is>
      </c>
      <c r="C339" s="2" t="inlineStr">
        <is>
          <t>Functional</t>
        </is>
      </c>
      <c r="D339" s="2" t="inlineStr">
        <is>
          <t>Navegación al caso</t>
        </is>
      </c>
      <c r="E339" s="2" t="inlineStr">
        <is>
          <t>Panel de notificaciones in-app</t>
        </is>
      </c>
      <c r="F339" s="2" t="inlineStr">
        <is>
          <t>Verificar que al hacer clic en una alerta del panel el sistema navega al caso/módulo de origen de la alerta.</t>
        </is>
      </c>
      <c r="G339" s="2" t="inlineStr">
        <is>
          <t>Web</t>
        </is>
      </c>
      <c r="H339" s="2" t="inlineStr">
        <is>
          <t>Usuario administrativo autenticado con una alerta vinculada a un caso concreto (caso Z, paciente RUT 12.345.678-5) visible en su panel.</t>
        </is>
      </c>
      <c r="I339" s="2" t="inlineStr">
        <is>
          <t>1. Abrir el panel de notificaciones. 2. Hacer clic sobre la alerta vinculada al caso Z. 3. Observar la pantalla de destino.</t>
        </is>
      </c>
      <c r="J339" s="2" t="inlineStr">
        <is>
          <t>El sistema navega al caso/módulo de origen de la alerta (ficha del caso Z), mostrando el contexto del plazo que originó la alerta.</t>
        </is>
      </c>
      <c r="K339" s="2" t="inlineStr"/>
      <c r="L339" s="2" t="inlineStr"/>
      <c r="M339" s="2" t="inlineStr">
        <is>
          <t>P0</t>
        </is>
      </c>
      <c r="N339" s="4" t="inlineStr">
        <is>
          <t>Major</t>
        </is>
      </c>
      <c r="O339" s="2" t="inlineStr"/>
      <c r="P339" s="2" t="inlineStr"/>
      <c r="Q339" s="2" t="inlineStr">
        <is>
          <t>S1</t>
        </is>
      </c>
    </row>
    <row r="340">
      <c r="A340" s="2" t="inlineStr">
        <is>
          <t>EPIC-10</t>
        </is>
      </c>
      <c r="B340" s="2" t="inlineStr">
        <is>
          <t>TC-CEPA-101-006</t>
        </is>
      </c>
      <c r="C340" s="2" t="inlineStr">
        <is>
          <t>Security</t>
        </is>
      </c>
      <c r="D340" s="2" t="inlineStr">
        <is>
          <t>Perfiles habilitados (D1)</t>
        </is>
      </c>
      <c r="E340" s="2" t="inlineStr">
        <is>
          <t>Panel de notificaciones in-app</t>
        </is>
      </c>
      <c r="F340" s="2" t="inlineStr">
        <is>
          <t>Verificar que los perfiles habilitados para el panel son solo Coordinación, Administrativo y Auditor, y que el perfil Clínico no existe en el sistema (D1).</t>
        </is>
      </c>
      <c r="G340" s="2" t="inlineStr">
        <is>
          <t>Web/API</t>
        </is>
      </c>
      <c r="H340" s="2" t="inlineStr">
        <is>
          <t>Ambiente QA con catálogo de roles del sistema desplegado; usuarios de los tres perfiles operativos creados.</t>
        </is>
      </c>
      <c r="I340" s="2" t="inlineStr">
        <is>
          <t>1. Consultar el catálogo de roles/perfiles del sistema (API o administración de usuarios). 2. Intentar crear o asignar un usuario con perfil 'Clínico'. 3. Iniciar sesión con cada perfil operativo (Coordinación, Administrativo, Auditor) y verificar acceso al panel.</t>
        </is>
      </c>
      <c r="J340" s="2" t="inlineStr">
        <is>
          <t>El catálogo de perfiles solo contiene Coordinación, Administrativo y Auditor; no es posible crear ni asignar el perfil Clínico; los tres perfiles operativos acceden al panel según su alcance.</t>
        </is>
      </c>
      <c r="K340" s="2" t="inlineStr"/>
      <c r="L340" s="2" t="inlineStr"/>
      <c r="M340" s="2" t="inlineStr">
        <is>
          <t>P0</t>
        </is>
      </c>
      <c r="N340" s="4" t="inlineStr">
        <is>
          <t>Major</t>
        </is>
      </c>
      <c r="O340" s="2" t="inlineStr"/>
      <c r="P340" s="2" t="inlineStr"/>
      <c r="Q340" s="2" t="inlineStr">
        <is>
          <t>BR-3</t>
        </is>
      </c>
    </row>
    <row r="341">
      <c r="A341" s="2" t="inlineStr">
        <is>
          <t>EPIC-10</t>
        </is>
      </c>
      <c r="B341" s="2" t="inlineStr">
        <is>
          <t>TC-CEPA-101-007</t>
        </is>
      </c>
      <c r="C341" s="2" t="inlineStr">
        <is>
          <t>Integration</t>
        </is>
      </c>
      <c r="D341" s="2" t="inlineStr">
        <is>
          <t>Consistencia con motor de alertas</t>
        </is>
      </c>
      <c r="E341" s="2" t="inlineStr">
        <is>
          <t>Panel de notificaciones in-app</t>
        </is>
      </c>
      <c r="F341" s="2" t="inlineStr">
        <is>
          <t>Verificar que el panel refleja las alertas generadas por el motor (CEPA-100) compartiendo el mismo origen de datos, sin desfase ni duplicación.</t>
        </is>
      </c>
      <c r="G341" s="2" t="inlineStr">
        <is>
          <t>Web/API</t>
        </is>
      </c>
      <c r="H341" s="2" t="inlineStr">
        <is>
          <t>Motor de alertas operativo en QA; usuario administrativo asignado a un caso con plazo dentro de ventana; panel sin alertas previas para ese plazo.</t>
        </is>
      </c>
      <c r="I341" s="2" t="inlineStr">
        <is>
          <t>1. Ejecutar el job del motor de alertas para generar una alerta nueva del caso del administrativo. 2. Iniciar sesión como el administrativo y abrir el panel. 3. Comparar la alerta del panel (tipo, caso, plazo) con el registro creado por el motor vía API. 4. Resolver la alerta desde el panel y volver a consultar el registro vía API.</t>
        </is>
      </c>
      <c r="J341" s="2" t="inlineStr">
        <is>
          <t>La alerta generada por el motor aparece en el panel con los mismos datos (mismo origen de datos); la resolución hecha desde el panel se refleja en el registro del motor sin duplicaciones ni inconsistencias.</t>
        </is>
      </c>
      <c r="K341" s="2" t="inlineStr"/>
      <c r="L341" s="2" t="inlineStr"/>
      <c r="M341" s="2" t="inlineStr">
        <is>
          <t>P0</t>
        </is>
      </c>
      <c r="N341" s="4" t="inlineStr">
        <is>
          <t>Major</t>
        </is>
      </c>
      <c r="O341" s="2" t="inlineStr"/>
      <c r="P341" s="2" t="inlineStr"/>
      <c r="Q341" s="2" t="inlineStr">
        <is>
          <t>BR-6</t>
        </is>
      </c>
    </row>
    <row r="342">
      <c r="A342" s="2" t="inlineStr">
        <is>
          <t>EPIC-10</t>
        </is>
      </c>
      <c r="B342" s="2" t="inlineStr">
        <is>
          <t>TC-CEPA-101-008</t>
        </is>
      </c>
      <c r="C342" s="2" t="inlineStr">
        <is>
          <t>UI/UX</t>
        </is>
      </c>
      <c r="D342" s="2" t="inlineStr">
        <is>
          <t>Estado vacío</t>
        </is>
      </c>
      <c r="E342" s="2" t="inlineStr">
        <is>
          <t>Panel de notificaciones in-app</t>
        </is>
      </c>
      <c r="F342" s="2" t="inlineStr">
        <is>
          <t>Verificar que un usuario sin alertas pendientes ve el panel en estado vacío ('sin notificaciones') sin errores al iniciar sesión.</t>
        </is>
      </c>
      <c r="G342" s="2" t="inlineStr">
        <is>
          <t>Web</t>
        </is>
      </c>
      <c r="H342" s="2" t="inlineStr">
        <is>
          <t>Usuario administrativo activo sin asignaciones activas ni alertas pendientes.</t>
        </is>
      </c>
      <c r="I342" s="2" t="inlineStr">
        <is>
          <t>1. Iniciar sesión con el usuario sin alertas. 2. Abrir el panel de notificaciones. 3. Observar el contenido y el comportamiento de la interfaz.</t>
        </is>
      </c>
      <c r="J342" s="2" t="inlineStr">
        <is>
          <t>El panel se muestra vacío con un estado 'sin notificaciones' amigable, sin errores en pantalla ni en consola, y el resto de la aplicación permanece operativa.</t>
        </is>
      </c>
      <c r="K342" s="2" t="inlineStr"/>
      <c r="L342" s="2" t="inlineStr"/>
      <c r="M342" s="2" t="inlineStr">
        <is>
          <t>P0</t>
        </is>
      </c>
      <c r="N342" s="5" t="inlineStr">
        <is>
          <t>Medium</t>
        </is>
      </c>
      <c r="O342" s="2" t="inlineStr"/>
      <c r="P342" s="2" t="inlineStr"/>
      <c r="Q342" s="2" t="inlineStr">
        <is>
          <t>TC-legacy</t>
        </is>
      </c>
    </row>
    <row r="343">
      <c r="A343" s="2" t="inlineStr">
        <is>
          <t>EPIC-10</t>
        </is>
      </c>
      <c r="B343" s="2" t="inlineStr">
        <is>
          <t>TC-CEPA-102-001</t>
        </is>
      </c>
      <c r="C343" s="2" t="inlineStr">
        <is>
          <t>Integration</t>
        </is>
      </c>
      <c r="D343" s="2" t="inlineStr">
        <is>
          <t>Envío SMTP</t>
        </is>
      </c>
      <c r="E343" s="2" t="inlineStr">
        <is>
          <t>Servicio de envío de correos de alerta</t>
        </is>
      </c>
      <c r="F343" s="2" t="inlineStr">
        <is>
          <t>Verificar que una alerta generada por el motor se envía por correo vía SMTP institucional al usuario responsable con correo registrado.</t>
        </is>
      </c>
      <c r="G343" s="2" t="inlineStr">
        <is>
          <t>Email</t>
        </is>
      </c>
      <c r="H343" s="2" t="inlineStr">
        <is>
          <t>Alerta generada por el motor (CEPA-100) para un usuario con correo institucional válido registrado (admin.a@utalca.cl); servicio SMTP institucional disponible.</t>
        </is>
      </c>
      <c r="I343" s="2" t="inlineStr">
        <is>
          <t>1. Generar una alerta de 'vencimiento de licencia médica' mediante el job. 2. Ejecutar/esperar el proceso de envío de notificaciones por correo. 3. Revisar la bandeja de entrada del correo admin.a@utalca.cl. 4. Verificar el registro del envío en el sistema.</t>
        </is>
      </c>
      <c r="J343" s="2" t="inlineStr">
        <is>
          <t>El usuario responsable recibe un correo con el contenido de la alerta (tipo, caso, plazo) enviado vía el SMTP institucional de la UTalca, y el envío exitoso queda registrado.</t>
        </is>
      </c>
      <c r="K343" s="2" t="inlineStr"/>
      <c r="L343" s="2" t="inlineStr"/>
      <c r="M343" s="2" t="inlineStr">
        <is>
          <t>P1</t>
        </is>
      </c>
      <c r="N343" s="4" t="inlineStr">
        <is>
          <t>Major</t>
        </is>
      </c>
      <c r="O343" s="2" t="inlineStr"/>
      <c r="P343" s="2" t="inlineStr"/>
      <c r="Q343" s="2" t="inlineStr">
        <is>
          <t>S1</t>
        </is>
      </c>
    </row>
    <row r="344">
      <c r="A344" s="2" t="inlineStr">
        <is>
          <t>EPIC-10</t>
        </is>
      </c>
      <c r="B344" s="2" t="inlineStr">
        <is>
          <t>TC-CEPA-102-002</t>
        </is>
      </c>
      <c r="C344" s="2" t="inlineStr">
        <is>
          <t>Business Rules</t>
        </is>
      </c>
      <c r="D344" s="2" t="inlineStr">
        <is>
          <t>Correo solo para alertas (D12)</t>
        </is>
      </c>
      <c r="E344" s="2" t="inlineStr">
        <is>
          <t>Servicio de envío de correos de alerta</t>
        </is>
      </c>
      <c r="F344" s="2" t="inlineStr">
        <is>
          <t>Verificar que el sistema NO envía correos por eventos que no sean alertas de plazo perentorio (canal email exclusivo para alertas, D12).</t>
        </is>
      </c>
      <c r="G344" s="2" t="inlineStr">
        <is>
          <t>Email</t>
        </is>
      </c>
      <c r="H344" s="2" t="inlineStr">
        <is>
          <t>SMTP disponible; usuario con correo válido; evento del sistema que no es alerta (ej. confirmación de cita agendada) generado para el usuario.</t>
        </is>
      </c>
      <c r="I344" s="2" t="inlineStr">
        <is>
          <t>1. Generar un evento no-alerta (ej. agendar/confirmar una cita para un paciente del usuario). 2. Ejecutar el proceso de envío de notificaciones por correo. 3. Revisar la bandeja del usuario y el registro de envíos del sistema.</t>
        </is>
      </c>
      <c r="J344" s="2" t="inlineStr">
        <is>
          <t>No se envía ningún correo por el evento no-alerta; el canal email se usa exclusivamente para alertas de plazo perentorio (D12).</t>
        </is>
      </c>
      <c r="K344" s="2" t="inlineStr"/>
      <c r="L344" s="2" t="inlineStr"/>
      <c r="M344" s="2" t="inlineStr">
        <is>
          <t>P1</t>
        </is>
      </c>
      <c r="N344" s="4" t="inlineStr">
        <is>
          <t>Major</t>
        </is>
      </c>
      <c r="O344" s="2" t="inlineStr"/>
      <c r="P344" s="2" t="inlineStr"/>
      <c r="Q344" s="2" t="inlineStr">
        <is>
          <t>S3</t>
        </is>
      </c>
    </row>
    <row r="345">
      <c r="A345" s="2" t="inlineStr">
        <is>
          <t>EPIC-10</t>
        </is>
      </c>
      <c r="B345" s="2" t="inlineStr">
        <is>
          <t>TC-CEPA-102-003</t>
        </is>
      </c>
      <c r="C345" s="2" t="inlineStr">
        <is>
          <t>Integration</t>
        </is>
      </c>
      <c r="D345" s="2" t="inlineStr">
        <is>
          <t>Degradación controlada SMTP</t>
        </is>
      </c>
      <c r="E345" s="2" t="inlineStr">
        <is>
          <t>Servicio de envío de correos de alerta</t>
        </is>
      </c>
      <c r="F345" s="2" t="inlineStr">
        <is>
          <t>Verificar que ante indisponibilidad del SMTP institucional el envío falla de forma controlada, la alerta in-app sigue funcionando y el fallo queda registrado (PA6).</t>
        </is>
      </c>
      <c r="G345" s="2" t="inlineStr">
        <is>
          <t>Web/API</t>
        </is>
      </c>
      <c r="H345" s="2" t="inlineStr">
        <is>
          <t>Alerta generada por el motor para un usuario con correo válido; servicio SMTP institucional deshabilitado/no disponible (simulado en QA).</t>
        </is>
      </c>
      <c r="I345" s="2" t="inlineStr">
        <is>
          <t>1. Deshabilitar o simular la caída del servicio SMTP. 2. Generar una alerta mediante el job. 3. Ejecutar el proceso de envío de notificaciones por correo. 4. Iniciar sesión como el usuario responsable y abrir el panel in-app. 5. Consultar el registro de envíos/fallos.</t>
        </is>
      </c>
      <c r="J345" s="2" t="inlineStr">
        <is>
          <t>El intento de envío falla sin errores no controlados ni bloqueo del sistema; la alerta permanece visible y operativa en el panel in-app; el fallo de envío queda registrado para trazabilidad.</t>
        </is>
      </c>
      <c r="K345" s="2" t="inlineStr"/>
      <c r="L345" s="2" t="inlineStr"/>
      <c r="M345" s="2" t="inlineStr">
        <is>
          <t>P1</t>
        </is>
      </c>
      <c r="N345" s="4" t="inlineStr">
        <is>
          <t>Major</t>
        </is>
      </c>
      <c r="O345" s="2" t="inlineStr"/>
      <c r="P345" s="2" t="inlineStr"/>
      <c r="Q345" s="2" t="inlineStr">
        <is>
          <t>S3</t>
        </is>
      </c>
    </row>
    <row r="346">
      <c r="A346" s="2" t="inlineStr">
        <is>
          <t>EPIC-10</t>
        </is>
      </c>
      <c r="B346" s="2" t="inlineStr">
        <is>
          <t>TC-CEPA-102-004</t>
        </is>
      </c>
      <c r="C346" s="2" t="inlineStr">
        <is>
          <t>Functional</t>
        </is>
      </c>
      <c r="D346" s="2" t="inlineStr">
        <is>
          <t>Idempotencia de envío</t>
        </is>
      </c>
      <c r="E346" s="2" t="inlineStr">
        <is>
          <t>Servicio de envío de correos de alerta</t>
        </is>
      </c>
      <c r="F346" s="2" t="inlineStr">
        <is>
          <t>Verificar que un correo de alerta ya enviado correctamente no se reenvía de forma duplicada al reejecutar el proceso de envío.</t>
        </is>
      </c>
      <c r="G346" s="2" t="inlineStr">
        <is>
          <t>Email</t>
        </is>
      </c>
      <c r="H346" s="2" t="inlineStr">
        <is>
          <t>Correo de una alerta ya enviado exitosamente al usuario responsable (registro de envío exitoso existente); SMTP disponible.</t>
        </is>
      </c>
      <c r="I346" s="2" t="inlineStr">
        <is>
          <t>1. Verificar el registro de envío exitoso del correo de la alerta. 2. Reejecutar el proceso de envío de notificaciones por correo. 3. Revisar la bandeja del usuario y el registro de envíos.</t>
        </is>
      </c>
      <c r="J346" s="2" t="inlineStr">
        <is>
          <t>No se reenvía el mismo correo de alerta; la bandeja del usuario contiene un único correo por la alerta y el registro no muestra envíos duplicados.</t>
        </is>
      </c>
      <c r="K346" s="2" t="inlineStr"/>
      <c r="L346" s="2" t="inlineStr"/>
      <c r="M346" s="2" t="inlineStr">
        <is>
          <t>P1</t>
        </is>
      </c>
      <c r="N346" s="5" t="inlineStr">
        <is>
          <t>Medium</t>
        </is>
      </c>
      <c r="O346" s="2" t="inlineStr"/>
      <c r="P346" s="2" t="inlineStr"/>
      <c r="Q346" s="2" t="inlineStr">
        <is>
          <t>S2</t>
        </is>
      </c>
    </row>
    <row r="347">
      <c r="A347" s="2" t="inlineStr">
        <is>
          <t>EPIC-10</t>
        </is>
      </c>
      <c r="B347" s="2" t="inlineStr">
        <is>
          <t>TC-CEPA-102-005</t>
        </is>
      </c>
      <c r="C347" s="2" t="inlineStr">
        <is>
          <t>Business Rules</t>
        </is>
      </c>
      <c r="D347" s="2" t="inlineStr">
        <is>
          <t>Trazabilidad de envíos</t>
        </is>
      </c>
      <c r="E347" s="2" t="inlineStr">
        <is>
          <t>Registro de envíos de correo</t>
        </is>
      </c>
      <c r="F347" s="2" t="inlineStr">
        <is>
          <t>Verificar que cada envío de correo (éxito y fallo) queda registrado para trazabilidad y que los fallos de envío no bloquean la generación de alertas.</t>
        </is>
      </c>
      <c r="G347" s="2" t="inlineStr">
        <is>
          <t>API</t>
        </is>
      </c>
      <c r="H347" s="2" t="inlineStr">
        <is>
          <t>Motor de alertas operativo; un usuario con correo válido (envío exitoso esperado) y escenario de fallo de envío disponible (SMTP intermitente simulado).</t>
        </is>
      </c>
      <c r="I347" s="2" t="inlineStr">
        <is>
          <t>1. Generar una alerta y ejecutar el envío con SMTP disponible. 2. Consultar el registro de envíos por el evento de éxito. 3. Simular fallo de SMTP y generar/enviar una segunda alerta. 4. Consultar el registro por el evento de fallo. 5. Ejecutar nuevamente el job de alertas y verificar que sigue generando alertas nuevas.</t>
        </is>
      </c>
      <c r="J347" s="2" t="inlineStr">
        <is>
          <t>El registro de trazabilidad contiene el envío exitoso y el fallido con fecha/hora y detalle; los fallos de envío no impiden ni bloquean la generación de nuevas alertas por el motor.</t>
        </is>
      </c>
      <c r="K347" s="2" t="inlineStr"/>
      <c r="L347" s="2" t="inlineStr"/>
      <c r="M347" s="2" t="inlineStr">
        <is>
          <t>P1</t>
        </is>
      </c>
      <c r="N347" s="4" t="inlineStr">
        <is>
          <t>Major</t>
        </is>
      </c>
      <c r="O347" s="2" t="inlineStr"/>
      <c r="P347" s="2" t="inlineStr"/>
      <c r="Q347" s="2" t="inlineStr">
        <is>
          <t>BR-4</t>
        </is>
      </c>
    </row>
    <row r="348">
      <c r="A348" s="2" t="inlineStr">
        <is>
          <t>EPIC-10</t>
        </is>
      </c>
      <c r="B348" s="2" t="inlineStr">
        <is>
          <t>TC-CEPA-102-006</t>
        </is>
      </c>
      <c r="C348" s="2" t="inlineStr">
        <is>
          <t>Business Rules</t>
        </is>
      </c>
      <c r="D348" s="2" t="inlineStr">
        <is>
          <t>Canales fuera de alcance</t>
        </is>
      </c>
      <c r="E348" s="2" t="inlineStr">
        <is>
          <t>Gestor de canales de notificación</t>
        </is>
      </c>
      <c r="F348" s="2" t="inlineStr">
        <is>
          <t>Verificar que WhatsApp no está implementado como canal de notificación en v1 y que solo existen los canales in-app y correo (WhatsApp P2, sin WABA).</t>
        </is>
      </c>
      <c r="G348" s="2" t="inlineStr">
        <is>
          <t>Web/API</t>
        </is>
      </c>
      <c r="H348" s="2" t="inlineStr">
        <is>
          <t>Sistema desplegado en QA con configuración de canales de notificación por defecto.</t>
        </is>
      </c>
      <c r="I348" s="2" t="inlineStr">
        <is>
          <t>1. Consultar la configuración/catálogo de canales de notificación disponibles (UI de configuración y/o API). 2. Generar una alerta y procesar las notificaciones. 3. Revisar los registros de envío por canal.</t>
        </is>
      </c>
      <c r="J348" s="2" t="inlineStr">
        <is>
          <t>Los únicos canales operativos son panel in-app y correo electrónico; no existe canal WhatsApp habilitado ni se registran intentos de envío por WhatsApp en v1.</t>
        </is>
      </c>
      <c r="K348" s="2" t="inlineStr"/>
      <c r="L348" s="2" t="inlineStr"/>
      <c r="M348" s="2" t="inlineStr">
        <is>
          <t>P1</t>
        </is>
      </c>
      <c r="N348" s="5" t="inlineStr">
        <is>
          <t>Medium</t>
        </is>
      </c>
      <c r="O348" s="2" t="inlineStr"/>
      <c r="P348" s="2" t="inlineStr"/>
      <c r="Q348" s="2" t="inlineStr">
        <is>
          <t>BR-5</t>
        </is>
      </c>
    </row>
    <row r="349">
      <c r="A349" s="2" t="inlineStr">
        <is>
          <t>EPIC-10</t>
        </is>
      </c>
      <c r="B349" s="2" t="inlineStr">
        <is>
          <t>TC-CEPA-102-007</t>
        </is>
      </c>
      <c r="C349" s="2" t="inlineStr">
        <is>
          <t>Business Rules</t>
        </is>
      </c>
      <c r="D349" s="2" t="inlineStr">
        <is>
          <t>Destinatarios válidos</t>
        </is>
      </c>
      <c r="E349" s="2" t="inlineStr">
        <is>
          <t>Servicio de envío de correos de alerta</t>
        </is>
      </c>
      <c r="F349" s="2" t="inlineStr">
        <is>
          <t>Verificar que solo reciben correo los perfiles operativos con correo válido y que un usuario sin correo registrado no genera envío, manteniéndose la alerta in-app disponible.</t>
        </is>
      </c>
      <c r="G349" s="2" t="inlineStr">
        <is>
          <t>Web/API</t>
        </is>
      </c>
      <c r="H349" s="2" t="inlineStr">
        <is>
          <t>Usuario administrativo responsable de una alerta SIN correo válido registrado; alerta generada por el motor; SMTP disponible; en el sistema no existe perfil Clínico (D1).</t>
        </is>
      </c>
      <c r="I349" s="2" t="inlineStr">
        <is>
          <t>1. Generar una alerta para el caso del usuario sin correo registrado. 2. Ejecutar el proceso de envío de notificaciones por correo. 3. Consultar el registro de envíos. 4. Iniciar sesión como el usuario y abrir el panel in-app.</t>
        </is>
      </c>
      <c r="J349" s="2" t="inlineStr">
        <is>
          <t>No se intenta/completa envío de correo para el usuario sin email válido (situación registrada de forma controlada); la alerta permanece disponible en el panel in-app; solo perfiles operativos (Coordinación/Administrativo/Auditor) son destinatarios posibles.</t>
        </is>
      </c>
      <c r="K349" s="2" t="inlineStr"/>
      <c r="L349" s="2" t="inlineStr"/>
      <c r="M349" s="2" t="inlineStr">
        <is>
          <t>P1</t>
        </is>
      </c>
      <c r="N349" s="5" t="inlineStr">
        <is>
          <t>Medium</t>
        </is>
      </c>
      <c r="O349" s="2" t="inlineStr"/>
      <c r="P349" s="2" t="inlineStr"/>
      <c r="Q349" s="2" t="inlineStr">
        <is>
          <t>BR-6</t>
        </is>
      </c>
    </row>
    <row r="350">
      <c r="A350" s="2" t="inlineStr">
        <is>
          <t>EPIC-10</t>
        </is>
      </c>
      <c r="B350" s="2" t="inlineStr">
        <is>
          <t>TC-CEPA-103-001</t>
        </is>
      </c>
      <c r="C350" s="2" t="inlineStr">
        <is>
          <t>Functional</t>
        </is>
      </c>
      <c r="D350" s="2" t="inlineStr">
        <is>
          <t>Lista de tareas por rol</t>
        </is>
      </c>
      <c r="E350" s="2" t="inlineStr">
        <is>
          <t>Gestor de tareas pendientes</t>
        </is>
      </c>
      <c r="F350" s="2" t="inlineStr">
        <is>
          <t>Verificar que un usuario con tareas pendientes asignadas ve la lista de tareas que le corresponden según su perfil y asignación.</t>
        </is>
      </c>
      <c r="G350" s="2" t="inlineStr">
        <is>
          <t>Web</t>
        </is>
      </c>
      <c r="H350" s="2" t="inlineStr">
        <is>
          <t>Usuario administrativo (Admin A) con 3 tareas pendientes asignadas a su rol/casos (ej. gestionar receta, enviar informe); sesión válida.</t>
        </is>
      </c>
      <c r="I350" s="2" t="inlineStr">
        <is>
          <t>1. Iniciar sesión como Admin A. 2. Navegar a la sección 'Tareas pendientes'. 3. Revisar el listado mostrado.</t>
        </is>
      </c>
      <c r="J350" s="2" t="inlineStr">
        <is>
          <t>Se muestra la lista con las 3 tareas pendientes que corresponden al perfil y asignación del Admin A, con su tipo, caso asociado y estado.</t>
        </is>
      </c>
      <c r="K350" s="2" t="inlineStr"/>
      <c r="L350" s="2" t="inlineStr"/>
      <c r="M350" s="2" t="inlineStr">
        <is>
          <t>P1</t>
        </is>
      </c>
      <c r="N350" s="4" t="inlineStr">
        <is>
          <t>Major</t>
        </is>
      </c>
      <c r="O350" s="2" t="inlineStr"/>
      <c r="P350" s="2" t="inlineStr"/>
      <c r="Q350" s="2" t="inlineStr">
        <is>
          <t>S1</t>
        </is>
      </c>
    </row>
    <row r="351">
      <c r="A351" s="2" t="inlineStr">
        <is>
          <t>EPIC-10</t>
        </is>
      </c>
      <c r="B351" s="2" t="inlineStr">
        <is>
          <t>TC-CEPA-103-002</t>
        </is>
      </c>
      <c r="C351" s="2" t="inlineStr">
        <is>
          <t>Functional</t>
        </is>
      </c>
      <c r="D351" s="2" t="inlineStr">
        <is>
          <t>Completar tarea</t>
        </is>
      </c>
      <c r="E351" s="2" t="inlineStr">
        <is>
          <t>Gestor de tareas pendientes</t>
        </is>
      </c>
      <c r="F351" s="2" t="inlineStr">
        <is>
          <t>Verificar que al marcar una tarea como completada cambia de estado, deja de aparecer entre las pendientes y queda registrado quién y cuándo la completó.</t>
        </is>
      </c>
      <c r="G351" s="2" t="inlineStr">
        <is>
          <t>Web</t>
        </is>
      </c>
      <c r="H351" s="2" t="inlineStr">
        <is>
          <t>Usuario administrativo autenticado con una tarea pendiente (Tarea T: 'gestionar receta') en su lista; acceso de consulta al log de auditoría.</t>
        </is>
      </c>
      <c r="I351" s="2" t="inlineStr">
        <is>
          <t>1. Abrir la sección de tareas pendientes. 2. Marcar la Tarea T como completada. 3. Refrescar la lista de pendientes. 4. Consultar el log de auditoría por el cambio de estado de la Tarea T.</t>
        </is>
      </c>
      <c r="J351" s="2" t="inlineStr">
        <is>
          <t>La Tarea T pasa a estado 'completada', desaparece de la lista de pendientes y el log de auditoría registra el usuario y la fecha/hora de la acción.</t>
        </is>
      </c>
      <c r="K351" s="2" t="inlineStr"/>
      <c r="L351" s="2" t="inlineStr"/>
      <c r="M351" s="2" t="inlineStr">
        <is>
          <t>P1</t>
        </is>
      </c>
      <c r="N351" s="4" t="inlineStr">
        <is>
          <t>Major</t>
        </is>
      </c>
      <c r="O351" s="2" t="inlineStr"/>
      <c r="P351" s="2" t="inlineStr"/>
      <c r="Q351" s="2" t="inlineStr">
        <is>
          <t>S1</t>
        </is>
      </c>
    </row>
    <row r="352">
      <c r="A352" s="2" t="inlineStr">
        <is>
          <t>EPIC-10</t>
        </is>
      </c>
      <c r="B352" s="2" t="inlineStr">
        <is>
          <t>TC-CEPA-103-003</t>
        </is>
      </c>
      <c r="C352" s="2" t="inlineStr">
        <is>
          <t>Security</t>
        </is>
      </c>
      <c r="D352" s="2" t="inlineStr">
        <is>
          <t>RBAC / segregación de tareas</t>
        </is>
      </c>
      <c r="E352" s="2" t="inlineStr">
        <is>
          <t>Gestor de tareas pendientes</t>
        </is>
      </c>
      <c r="F352" s="2" t="inlineStr">
        <is>
          <t>Verificar que cada usuario ve solo sus tareas y no las de otros usuarios (segregación por rol/asignación).</t>
        </is>
      </c>
      <c r="G352" s="2" t="inlineStr">
        <is>
          <t>Web/API</t>
        </is>
      </c>
      <c r="H352" s="2" t="inlineStr">
        <is>
          <t>Admin A y Admin B activos, cada uno con tareas pendientes distintas asignadas a casos distintos.</t>
        </is>
      </c>
      <c r="I352" s="2" t="inlineStr">
        <is>
          <t>1. Iniciar sesión como Admin A y abrir su lista de tareas pendientes. 2. Revisar el listado completo. 3. Consultar el endpoint de tareas con el token de Admin A. 4. Repetir los pasos 1-3 como Admin B.</t>
        </is>
      </c>
      <c r="J352" s="2" t="inlineStr">
        <is>
          <t>Admin A ve únicamente sus tareas y Admin B únicamente las suyas; ni la UI ni el API exponen tareas del otro usuario.</t>
        </is>
      </c>
      <c r="K352" s="2" t="inlineStr"/>
      <c r="L352" s="2" t="inlineStr"/>
      <c r="M352" s="2" t="inlineStr">
        <is>
          <t>P1</t>
        </is>
      </c>
      <c r="N352" s="4" t="inlineStr">
        <is>
          <t>Major</t>
        </is>
      </c>
      <c r="O352" s="2" t="inlineStr"/>
      <c r="P352" s="2" t="inlineStr"/>
      <c r="Q352" s="2" t="inlineStr">
        <is>
          <t>S3</t>
        </is>
      </c>
    </row>
    <row r="353">
      <c r="A353" s="2" t="inlineStr">
        <is>
          <t>EPIC-10</t>
        </is>
      </c>
      <c r="B353" s="2" t="inlineStr">
        <is>
          <t>TC-CEPA-103-004</t>
        </is>
      </c>
      <c r="C353" s="2" t="inlineStr">
        <is>
          <t>Functional</t>
        </is>
      </c>
      <c r="D353" s="2" t="inlineStr">
        <is>
          <t>Vista de supervisión</t>
        </is>
      </c>
      <c r="E353" s="2" t="inlineStr">
        <is>
          <t>Gestor de tareas pendientes</t>
        </is>
      </c>
      <c r="F353" s="2" t="inlineStr">
        <is>
          <t>Verificar que un usuario de Coordinación puede ver el estado de las tareas del equipo según su alcance de supervisión.</t>
        </is>
      </c>
      <c r="G353" s="2" t="inlineStr">
        <is>
          <t>Web</t>
        </is>
      </c>
      <c r="H353" s="2" t="inlineStr">
        <is>
          <t>Usuario Coordinación activo con alcance de supervisión sobre un equipo; Admin A y Admin B del equipo con tareas en distintos estados (pendiente/completada).</t>
        </is>
      </c>
      <c r="I353" s="2" t="inlineStr">
        <is>
          <t>1. Iniciar sesión como usuario Coordinación. 2. Abrir la sección de tareas pendientes / vista de supervisión. 3. Revisar el estado de las tareas de Admin A y Admin B.</t>
        </is>
      </c>
      <c r="J353" s="2" t="inlineStr">
        <is>
          <t>Coordinación visualiza el estado de las tareas del equipo dentro de su alcance de supervisión (pendientes y completadas por responsable), sin restricción a solo sus tareas propias.</t>
        </is>
      </c>
      <c r="K353" s="2" t="inlineStr"/>
      <c r="L353" s="2" t="inlineStr"/>
      <c r="M353" s="2" t="inlineStr">
        <is>
          <t>P1</t>
        </is>
      </c>
      <c r="N353" s="4" t="inlineStr">
        <is>
          <t>Major</t>
        </is>
      </c>
      <c r="O353" s="2" t="inlineStr"/>
      <c r="P353" s="2" t="inlineStr"/>
      <c r="Q353" s="2" t="inlineStr">
        <is>
          <t>S1</t>
        </is>
      </c>
    </row>
    <row r="354">
      <c r="A354" s="2" t="inlineStr">
        <is>
          <t>EPIC-10</t>
        </is>
      </c>
      <c r="B354" s="2" t="inlineStr">
        <is>
          <t>TC-CEPA-103-005</t>
        </is>
      </c>
      <c r="C354" s="2" t="inlineStr">
        <is>
          <t>Security</t>
        </is>
      </c>
      <c r="D354" s="2" t="inlineStr">
        <is>
          <t>Perfiles aplicables (D1)</t>
        </is>
      </c>
      <c r="E354" s="2" t="inlineStr">
        <is>
          <t>Gestor de tareas pendientes</t>
        </is>
      </c>
      <c r="F354" s="2" t="inlineStr">
        <is>
          <t>Verificar que los perfiles aplicables a tareas son Administrativo (operación) y Coordinación (supervisión), y que el perfil Clínico no existe ni puede recibir tareas (D1).</t>
        </is>
      </c>
      <c r="G354" s="2" t="inlineStr">
        <is>
          <t>Web/API</t>
        </is>
      </c>
      <c r="H354" s="2" t="inlineStr">
        <is>
          <t>Catálogo de roles del sistema desplegado en QA; usuarios Administrativo y Coordinación activos.</t>
        </is>
      </c>
      <c r="I354" s="2" t="inlineStr">
        <is>
          <t>1. Consultar el catálogo de perfiles del sistema. 2. Intentar asignar una tarea a un perfil distinto de Administrativo/Coordinación (ej. inexistente 'Clínico') vía API. 3. Verificar el acceso a la sección de tareas con los perfiles Administrativo y Coordinación.</t>
        </is>
      </c>
      <c r="J354" s="2" t="inlineStr">
        <is>
          <t>Solo Administrativo y Coordinación operan tareas (operación/supervisión respectivamente); el perfil Clínico no existe en el sistema y el intento de asignación es rechazado con error controlado.</t>
        </is>
      </c>
      <c r="K354" s="2" t="inlineStr"/>
      <c r="L354" s="2" t="inlineStr"/>
      <c r="M354" s="2" t="inlineStr">
        <is>
          <t>P1</t>
        </is>
      </c>
      <c r="N354" s="4" t="inlineStr">
        <is>
          <t>Major</t>
        </is>
      </c>
      <c r="O354" s="2" t="inlineStr"/>
      <c r="P354" s="2" t="inlineStr"/>
      <c r="Q354" s="2" t="inlineStr">
        <is>
          <t>BR-2</t>
        </is>
      </c>
    </row>
    <row r="355">
      <c r="A355" s="2" t="inlineStr">
        <is>
          <t>EPIC-10</t>
        </is>
      </c>
      <c r="B355" s="2" t="inlineStr">
        <is>
          <t>TC-CEPA-103-006</t>
        </is>
      </c>
      <c r="C355" s="2" t="inlineStr">
        <is>
          <t>Business Rules</t>
        </is>
      </c>
      <c r="D355" s="2" t="inlineStr">
        <is>
          <t>Origen de tareas vs alertas</t>
        </is>
      </c>
      <c r="E355" s="2" t="inlineStr">
        <is>
          <t>Gestor de tareas pendientes</t>
        </is>
      </c>
      <c r="F355" s="2" t="inlineStr">
        <is>
          <t>Verificar que las tareas originadas de procesos operativos conviven con las alertas del motor sin duplicar su semántica de plazo.</t>
        </is>
      </c>
      <c r="G355" s="2" t="inlineStr">
        <is>
          <t>Web/API</t>
        </is>
      </c>
      <c r="H355" s="2" t="inlineStr">
        <is>
          <t>Caso con una receta que origina tanto una tarea operativa ('gestionar receta') como una alerta de plazo ('receta por renovar/gestionar') generada por el motor de alertas.</t>
        </is>
      </c>
      <c r="I355" s="2" t="inlineStr">
        <is>
          <t>1. Crear la tarea operativa 'gestionar receta' para el caso. 2. Ejecutar el job del motor de alertas con la receta dentro de la ventana de aviso. 3. Abrir la sección de tareas pendientes y el panel de notificaciones del administrativo asignado. 4. Comparar ambos elementos (tarea vs alerta).</t>
        </is>
      </c>
      <c r="J355" s="2" t="inlineStr">
        <is>
          <t>La tarea operativa y la alerta de plazo coexisten como entidades distintas (la tarea no replica la lógica de plazos de la alerta ni viceversa); no se generan tareas duplicadas a partir de la alerta ni alertas duplicadas a partir de la tarea.</t>
        </is>
      </c>
      <c r="K355" s="2" t="inlineStr"/>
      <c r="L355" s="2" t="inlineStr"/>
      <c r="M355" s="2" t="inlineStr">
        <is>
          <t>P1</t>
        </is>
      </c>
      <c r="N355" s="5" t="inlineStr">
        <is>
          <t>Medium</t>
        </is>
      </c>
      <c r="O355" s="2" t="inlineStr"/>
      <c r="P355" s="2" t="inlineStr"/>
      <c r="Q355" s="2" t="inlineStr">
        <is>
          <t>BR-4</t>
        </is>
      </c>
    </row>
    <row r="356">
      <c r="A356" s="2" t="inlineStr">
        <is>
          <t>EPIC-10</t>
        </is>
      </c>
      <c r="B356" s="2" t="inlineStr">
        <is>
          <t>TC-CEPA-103-007</t>
        </is>
      </c>
      <c r="C356" s="2" t="inlineStr">
        <is>
          <t>UI/UX</t>
        </is>
      </c>
      <c r="D356" s="2" t="inlineStr">
        <is>
          <t>Estado vacío</t>
        </is>
      </c>
      <c r="E356" s="2" t="inlineStr">
        <is>
          <t>Gestor de tareas pendientes</t>
        </is>
      </c>
      <c r="F356" s="2" t="inlineStr">
        <is>
          <t>Verificar que un usuario sin tareas pendientes ve la lista vacía sin errores.</t>
        </is>
      </c>
      <c r="G356" s="2" t="inlineStr">
        <is>
          <t>Web</t>
        </is>
      </c>
      <c r="H356" s="2" t="inlineStr">
        <is>
          <t>Usuario administrativo activo sin asignaciones ni tareas pendientes.</t>
        </is>
      </c>
      <c r="I356" s="2" t="inlineStr">
        <is>
          <t>1. Iniciar sesión con el usuario sin tareas. 2. Abrir la sección de tareas pendientes. 3. Observar el contenido y comportamiento de la interfaz.</t>
        </is>
      </c>
      <c r="J356" s="2" t="inlineStr">
        <is>
          <t>La lista se muestra vacía con un estado amigable (ej. 'sin tareas pendientes'), sin errores en pantalla ni en consola.</t>
        </is>
      </c>
      <c r="K356" s="2" t="inlineStr"/>
      <c r="L356" s="2" t="inlineStr"/>
      <c r="M356" s="2" t="inlineStr">
        <is>
          <t>P1</t>
        </is>
      </c>
      <c r="N356" s="5" t="inlineStr">
        <is>
          <t>Medium</t>
        </is>
      </c>
      <c r="O356" s="2" t="inlineStr"/>
      <c r="P356" s="2" t="inlineStr"/>
      <c r="Q356" s="2" t="inlineStr">
        <is>
          <t>TC-legacy</t>
        </is>
      </c>
    </row>
    <row r="357">
      <c r="A357" s="2" t="inlineStr">
        <is>
          <t>EPIC-11</t>
        </is>
      </c>
      <c r="B357" s="2" t="inlineStr">
        <is>
          <t>TC-CEPA-110-001</t>
        </is>
      </c>
      <c r="C357" s="2" t="inlineStr">
        <is>
          <t>Functional</t>
        </is>
      </c>
      <c r="D357" s="2" t="inlineStr">
        <is>
          <t>Alta de campo configurable</t>
        </is>
      </c>
      <c r="E357" s="2" t="inlineStr">
        <is>
          <t>Editor de formularios dinámicos</t>
        </is>
      </c>
      <c r="F357" s="2" t="inlineStr">
        <is>
          <t>Verificar que la coordinadora puede agregar un campo nuevo (etiqueta, tipo, obligatoriedad, orden) y que al publicar queda disponible en el formulario operativo sin despliegue de código.</t>
        </is>
      </c>
      <c r="G357" s="2" t="inlineStr">
        <is>
          <t>Web</t>
        </is>
      </c>
      <c r="H357" s="2" t="inlineStr">
        <is>
          <t>Usuario con perfil Coordinación autenticado; editor de formularios del módulo Ingresos abierto; formulario en versión v1 publicada.</t>
        </is>
      </c>
      <c r="I357" s="2" t="inlineStr">
        <is>
          <t>1. Navegar al editor de formularios del módulo Ingresos. 2. Hacer clic en 'Agregar campo'. 3. Ingresar etiqueta 'Comuna', tipo de dato 'texto', marcar obligatoriedad 'obligatorio' y asignar orden 5. 4. Hacer clic en 'Publicar'. 5. Navegar al formulario operativo de nuevo ingreso como usuario Administrativo.</t>
        </is>
      </c>
      <c r="J357" s="2" t="inlineStr">
        <is>
          <t>El campo 'Comuna' aparece en el formulario operativo en la posición 5, disponible para captura; se genera y publica una nueva versión del formulario sin intervención de desarrollo.</t>
        </is>
      </c>
      <c r="K357" s="2" t="inlineStr"/>
      <c r="L357" s="2" t="inlineStr"/>
      <c r="M357" s="2" t="inlineStr">
        <is>
          <t>P0</t>
        </is>
      </c>
      <c r="N357" s="3" t="inlineStr">
        <is>
          <t>Critical</t>
        </is>
      </c>
      <c r="O357" s="2" t="inlineStr"/>
      <c r="P357" s="2" t="inlineStr"/>
      <c r="Q357" s="2" t="inlineStr">
        <is>
          <t>S1</t>
        </is>
      </c>
    </row>
    <row r="358">
      <c r="A358" s="2" t="inlineStr">
        <is>
          <t>EPIC-11</t>
        </is>
      </c>
      <c r="B358" s="2" t="inlineStr">
        <is>
          <t>TC-CEPA-110-002</t>
        </is>
      </c>
      <c r="C358" s="2" t="inlineStr">
        <is>
          <t>Functional</t>
        </is>
      </c>
      <c r="D358" s="2" t="inlineStr">
        <is>
          <t>Baja/desactivación de campo</t>
        </is>
      </c>
      <c r="E358" s="2" t="inlineStr">
        <is>
          <t>Editor de formularios dinámicos</t>
        </is>
      </c>
      <c r="F358" s="2" t="inlineStr">
        <is>
          <t>Verificar que al eliminar o desactivar un campo no obligatorio y publicar, el campo deja de mostrarse en nuevas capturas y los datos históricos se conservan.</t>
        </is>
      </c>
      <c r="G358" s="2" t="inlineStr">
        <is>
          <t>Web</t>
        </is>
      </c>
      <c r="H358" s="2" t="inlineStr">
        <is>
          <t>Usuario Coordinación autenticado; existe el campo opcional 'Observación extra' en el formulario del módulo Ingresos con al menos 10 registros históricos que contienen valores en ese campo.</t>
        </is>
      </c>
      <c r="I358" s="2" t="inlineStr">
        <is>
          <t>1. Navegar al editor de formularios del módulo Ingresos. 2. Seleccionar el campo 'Observación extra'. 3. Hacer clic en 'Desactivar campo'. 4. Hacer clic en 'Publicar'. 5. Abrir el formulario operativo para una nueva captura. 6. Consultar un registro histórico que tenía valor en 'Observación extra'.</t>
        </is>
      </c>
      <c r="J358" s="2" t="inlineStr">
        <is>
          <t>El campo 'Observación extra' ya no se muestra en nuevas capturas; los registros históricos conservan y muestran los valores previamente capturados en ese campo (no se borran datos).</t>
        </is>
      </c>
      <c r="K358" s="2" t="inlineStr"/>
      <c r="L358" s="2" t="inlineStr"/>
      <c r="M358" s="2" t="inlineStr">
        <is>
          <t>P0</t>
        </is>
      </c>
      <c r="N358" s="3" t="inlineStr">
        <is>
          <t>Critical</t>
        </is>
      </c>
      <c r="O358" s="2" t="inlineStr"/>
      <c r="P358" s="2" t="inlineStr"/>
      <c r="Q358" s="2" t="inlineStr">
        <is>
          <t>S2</t>
        </is>
      </c>
    </row>
    <row r="359">
      <c r="A359" s="2" t="inlineStr">
        <is>
          <t>EPIC-11</t>
        </is>
      </c>
      <c r="B359" s="2" t="inlineStr">
        <is>
          <t>TC-CEPA-110-003</t>
        </is>
      </c>
      <c r="C359" s="2" t="inlineStr">
        <is>
          <t>Functional</t>
        </is>
      </c>
      <c r="D359" s="2" t="inlineStr">
        <is>
          <t>Borrador vs. publicación</t>
        </is>
      </c>
      <c r="E359" s="2" t="inlineStr">
        <is>
          <t>Versionador de formularios</t>
        </is>
      </c>
      <c r="F359" s="2" t="inlineStr">
        <is>
          <t>Verificar que los cambios guardados como borrador (reordenar campos, cambiar tipo) no afectan el formulario en producción hasta que se publique la nueva versión.</t>
        </is>
      </c>
      <c r="G359" s="2" t="inlineStr">
        <is>
          <t>Web</t>
        </is>
      </c>
      <c r="H359" s="2" t="inlineStr">
        <is>
          <t>Usuario Coordinación autenticado; formulario del módulo Ingresos con versión v1 publicada y campos configurados.</t>
        </is>
      </c>
      <c r="I359" s="2" t="inlineStr">
        <is>
          <t>1. Navegar al editor de formularios del módulo Ingresos. 2. Reordenar el campo 'Teléfono' de la posición 4 a la posición 2. 3. Cambiar el tipo del campo 'Edad' de 'texto' a 'número'. 4. Hacer clic en 'Guardar como borrador'. 5. En otra sesión, abrir el formulario operativo de producción como usuario Administrativo y revisar orden y tipos de campos.</t>
        </is>
      </c>
      <c r="J359" s="2" t="inlineStr">
        <is>
          <t>El formulario en producción mantiene la configuración de la versión v1 publicada (orden y tipos originales); los cambios del borrador solo son visibles en el editor y no impactan la captura operativa hasta publicar.</t>
        </is>
      </c>
      <c r="K359" s="2" t="inlineStr"/>
      <c r="L359" s="2" t="inlineStr"/>
      <c r="M359" s="2" t="inlineStr">
        <is>
          <t>P0</t>
        </is>
      </c>
      <c r="N359" s="4" t="inlineStr">
        <is>
          <t>Major</t>
        </is>
      </c>
      <c r="O359" s="2" t="inlineStr"/>
      <c r="P359" s="2" t="inlineStr"/>
      <c r="Q359" s="2" t="inlineStr">
        <is>
          <t>S2</t>
        </is>
      </c>
    </row>
    <row r="360">
      <c r="A360" s="2" t="inlineStr">
        <is>
          <t>EPIC-11</t>
        </is>
      </c>
      <c r="B360" s="2" t="inlineStr">
        <is>
          <t>TC-CEPA-110-004</t>
        </is>
      </c>
      <c r="C360" s="2" t="inlineStr">
        <is>
          <t>Security</t>
        </is>
      </c>
      <c r="D360" s="2" t="inlineStr">
        <is>
          <t>RBAC</t>
        </is>
      </c>
      <c r="E360" s="2" t="inlineStr">
        <is>
          <t>Control de acceso al editor de formularios</t>
        </is>
      </c>
      <c r="F360" s="2" t="inlineStr">
        <is>
          <t>Verificar que un usuario sin perfil Coordinación (Administrativo o Auditor) no puede acceder al editor de formularios.</t>
        </is>
      </c>
      <c r="G360" s="2" t="inlineStr">
        <is>
          <t>Web/API</t>
        </is>
      </c>
      <c r="H360" s="2" t="inlineStr">
        <is>
          <t>Usuario con perfil Administrativo autenticado (JWT válido); existe además un usuario con perfil Auditor. RBAC de EPIC-00 operativo.</t>
        </is>
      </c>
      <c r="I360" s="2" t="inlineStr">
        <is>
          <t>1. Autenticarse como usuario Administrativo. 2. Intentar navegar a la URL del editor de formularios del módulo Ingresos. 3. Invocar directamente el endpoint de configuración (ej. GET /api/v1/formularios/ingresos/config) con el token del Administrativo. 4. Repetir los pasos 1 a 3 autenticado como usuario Auditor.</t>
        </is>
      </c>
      <c r="J360" s="2" t="inlineStr">
        <is>
          <t>En ambos perfiles el sistema deniega el acceso: la UI no muestra el editor y la API responde HTTP 403 (control RBAC provisto por EPIC-00).</t>
        </is>
      </c>
      <c r="K360" s="2" t="inlineStr"/>
      <c r="L360" s="2" t="inlineStr"/>
      <c r="M360" s="2" t="inlineStr">
        <is>
          <t>P0</t>
        </is>
      </c>
      <c r="N360" s="3" t="inlineStr">
        <is>
          <t>Critical</t>
        </is>
      </c>
      <c r="O360" s="2" t="inlineStr"/>
      <c r="P360" s="2" t="inlineStr"/>
      <c r="Q360" s="2" t="inlineStr">
        <is>
          <t>S3</t>
        </is>
      </c>
    </row>
    <row r="361">
      <c r="A361" s="2" t="inlineStr">
        <is>
          <t>EPIC-11</t>
        </is>
      </c>
      <c r="B361" s="2" t="inlineStr">
        <is>
          <t>TC-CEPA-110-005</t>
        </is>
      </c>
      <c r="C361" s="2" t="inlineStr">
        <is>
          <t>Business Rules</t>
        </is>
      </c>
      <c r="D361" s="2" t="inlineStr">
        <is>
          <t>Versionado de formularios</t>
        </is>
      </c>
      <c r="E361" s="2" t="inlineStr">
        <is>
          <t>Versionador de formularios</t>
        </is>
      </c>
      <c r="F361" s="2" t="inlineStr">
        <is>
          <t>Verificar que cada publicación genera una nueva versión y que las capturas previas mantienen la versión del formulario con que fueron creadas, sin pérdida de datos históricos.</t>
        </is>
      </c>
      <c r="G361" s="2" t="inlineStr">
        <is>
          <t>Web</t>
        </is>
      </c>
      <c r="H361" s="2" t="inlineStr">
        <is>
          <t>Usuario Coordinación autenticado; formulario del módulo Ingresos en versión v1 con 200 capturas históricas que incluyen el campo 'Previsión'.</t>
        </is>
      </c>
      <c r="I361" s="2" t="inlineStr">
        <is>
          <t>1. Navegar al editor de formularios del módulo Ingresos. 2. Quitar el campo 'Previsión' de la configuración. 3. Hacer clic en 'Publicar' para generar la versión v2. 4. Consultar un registro capturado con la versión v1. 5. Iniciar una nueva captura con la versión v2 vigente.</t>
        </is>
      </c>
      <c r="J361" s="2" t="inlineStr">
        <is>
          <t>Se genera la versión v2 del formulario; los 200 registros históricos siguen mostrando el campo 'Previsión' con sus valores (asociados a v1); la nueva captura v2 ya no incluye el campo. No hay pérdida de datos históricos.</t>
        </is>
      </c>
      <c r="K361" s="2" t="inlineStr"/>
      <c r="L361" s="2" t="inlineStr"/>
      <c r="M361" s="2" t="inlineStr">
        <is>
          <t>P0</t>
        </is>
      </c>
      <c r="N361" s="3" t="inlineStr">
        <is>
          <t>Critical</t>
        </is>
      </c>
      <c r="O361" s="2" t="inlineStr"/>
      <c r="P361" s="2" t="inlineStr"/>
      <c r="Q361" s="2" t="inlineStr">
        <is>
          <t>BR-2</t>
        </is>
      </c>
    </row>
    <row r="362">
      <c r="A362" s="2" t="inlineStr">
        <is>
          <t>EPIC-11</t>
        </is>
      </c>
      <c r="B362" s="2" t="inlineStr">
        <is>
          <t>TC-CEPA-110-006</t>
        </is>
      </c>
      <c r="C362" s="2" t="inlineStr">
        <is>
          <t>Business Rules</t>
        </is>
      </c>
      <c r="D362" s="2" t="inlineStr">
        <is>
          <t>Auditoría de configuración</t>
        </is>
      </c>
      <c r="E362" s="2" t="inlineStr">
        <is>
          <t>Registro de eventos de auditoría (consumo EPIC-00)</t>
        </is>
      </c>
      <c r="F362" s="2" t="inlineStr">
        <is>
          <t>Verificar que todo cambio de configuración de formularios (alta, baja, modificación de campo y publicación) queda registrado en el log de auditoría de EPIC-00 con usuario, acción y fecha/hora.</t>
        </is>
      </c>
      <c r="G362" s="2" t="inlineStr">
        <is>
          <t>Web/API</t>
        </is>
      </c>
      <c r="H362" s="2" t="inlineStr">
        <is>
          <t>Usuario Coordinación autenticado; log de auditoría de EPIC-00 operativo; usuario Auditor disponible para consultar el log.</t>
        </is>
      </c>
      <c r="I362" s="2" t="inlineStr">
        <is>
          <t>1. Como Coordinación, agregar el campo 'Comuna' (texto, obligatorio) al formulario de Ingresos. 2. Modificar la etiqueta del campo 'Teléfono' a 'Teléfono de contacto'. 3. Desactivar el campo opcional 'Observación extra'. 4. Hacer clic en 'Publicar'. 5. Como Auditor, consultar el log de auditoría filtrando por el módulo Ingresos y la fecha actual.</t>
        </is>
      </c>
      <c r="J362" s="2" t="inlineStr">
        <is>
          <t>El log de auditoría contiene un evento por cada operación (alta de campo, modificación, desactivación y publicación), indicando quién realizó el cambio, qué se modificó y cuándo (timestamp).</t>
        </is>
      </c>
      <c r="K362" s="2" t="inlineStr"/>
      <c r="L362" s="2" t="inlineStr"/>
      <c r="M362" s="2" t="inlineStr">
        <is>
          <t>P0</t>
        </is>
      </c>
      <c r="N362" s="4" t="inlineStr">
        <is>
          <t>Major</t>
        </is>
      </c>
      <c r="O362" s="2" t="inlineStr"/>
      <c r="P362" s="2" t="inlineStr"/>
      <c r="Q362" s="2" t="inlineStr">
        <is>
          <t>BR-4</t>
        </is>
      </c>
    </row>
    <row r="363">
      <c r="A363" s="2" t="inlineStr">
        <is>
          <t>EPIC-11</t>
        </is>
      </c>
      <c r="B363" s="2" t="inlineStr">
        <is>
          <t>TC-CEPA-110-007</t>
        </is>
      </c>
      <c r="C363" s="2" t="inlineStr">
        <is>
          <t>Business Rules</t>
        </is>
      </c>
      <c r="D363" s="2" t="inlineStr">
        <is>
          <t>Bloqueo de publicación inválida</t>
        </is>
      </c>
      <c r="E363" s="2" t="inlineStr">
        <is>
          <t>Versionador de formularios</t>
        </is>
      </c>
      <c r="F363" s="2" t="inlineStr">
        <is>
          <t>Verificar que no se permite publicar un formulario que no pasa la validación de parametrización (integración con CEPA-111).</t>
        </is>
      </c>
      <c r="G363" s="2" t="inlineStr">
        <is>
          <t>Web</t>
        </is>
      </c>
      <c r="H363" s="2" t="inlineStr">
        <is>
          <t>Usuario Coordinación autenticado; borrador del formulario de Ingresos con un campo obligatorio sin nomenclatura estándar (campo obligatorio sin nombre válido).</t>
        </is>
      </c>
      <c r="I363" s="2" t="inlineStr">
        <is>
          <t>1. Navegar al editor de formularios del módulo Ingresos. 2. Abrir el borrador que contiene el campo obligatorio sin nomenclatura válida. 3. Hacer clic en 'Publicar'.</t>
        </is>
      </c>
      <c r="J363" s="2" t="inlineStr">
        <is>
          <t>La publicación queda bloqueada; el sistema muestra un mensaje de error indicando la falla de parametrización (validación de CEPA-111) y el formulario en producción no cambia de versión.</t>
        </is>
      </c>
      <c r="K363" s="2" t="inlineStr"/>
      <c r="L363" s="2" t="inlineStr"/>
      <c r="M363" s="2" t="inlineStr">
        <is>
          <t>P0</t>
        </is>
      </c>
      <c r="N363" s="3" t="inlineStr">
        <is>
          <t>Critical</t>
        </is>
      </c>
      <c r="O363" s="2" t="inlineStr"/>
      <c r="P363" s="2" t="inlineStr"/>
      <c r="Q363" s="2" t="inlineStr">
        <is>
          <t>BR-5</t>
        </is>
      </c>
    </row>
    <row r="364">
      <c r="A364" s="2" t="inlineStr">
        <is>
          <t>EPIC-11</t>
        </is>
      </c>
      <c r="B364" s="2" t="inlineStr">
        <is>
          <t>TC-CEPA-110-008</t>
        </is>
      </c>
      <c r="C364" s="2" t="inlineStr">
        <is>
          <t>Security</t>
        </is>
      </c>
      <c r="D364" s="2" t="inlineStr">
        <is>
          <t>RBAC solo lectura</t>
        </is>
      </c>
      <c r="E364" s="2" t="inlineStr">
        <is>
          <t>Control de acceso al editor de formularios</t>
        </is>
      </c>
      <c r="F364" s="2" t="inlineStr">
        <is>
          <t>Verificar que un usuario Auditor (solo lectura) no puede publicar cambios en un formulario.</t>
        </is>
      </c>
      <c r="G364" s="2" t="inlineStr">
        <is>
          <t>Web/API</t>
        </is>
      </c>
      <c r="H364" s="2" t="inlineStr">
        <is>
          <t>Usuario con perfil Auditor autenticado (JWT válido); existe un borrador de formulario en el módulo Ingresos.</t>
        </is>
      </c>
      <c r="I364" s="2" t="inlineStr">
        <is>
          <t>1. Autenticarse como usuario Auditor. 2. Intentar invocar la acción de publicación de un formulario (UI o endpoint POST /api/v1/formularios/ingresos/publicar).</t>
        </is>
      </c>
      <c r="J364" s="2" t="inlineStr">
        <is>
          <t>La acción es denegada (HTTP 403 en API, opción no disponible/bloqueada en UI); el Auditor es estrictamente de solo lectura y no puede publicar cambios.</t>
        </is>
      </c>
      <c r="K364" s="2" t="inlineStr"/>
      <c r="L364" s="2" t="inlineStr"/>
      <c r="M364" s="2" t="inlineStr">
        <is>
          <t>P0</t>
        </is>
      </c>
      <c r="N364" s="3" t="inlineStr">
        <is>
          <t>Critical</t>
        </is>
      </c>
      <c r="O364" s="2" t="inlineStr"/>
      <c r="P364" s="2" t="inlineStr"/>
      <c r="Q364" s="2" t="inlineStr">
        <is>
          <t>TC-legacy</t>
        </is>
      </c>
    </row>
    <row r="365">
      <c r="A365" s="2" t="inlineStr">
        <is>
          <t>EPIC-11</t>
        </is>
      </c>
      <c r="B365" s="2" t="inlineStr">
        <is>
          <t>TC-CEPA-111-001</t>
        </is>
      </c>
      <c r="C365" s="2" t="inlineStr">
        <is>
          <t>Functional</t>
        </is>
      </c>
      <c r="D365" s="2" t="inlineStr">
        <is>
          <t>Validación de parametrización</t>
        </is>
      </c>
      <c r="E365" s="2" t="inlineStr">
        <is>
          <t>Motor de validación de parametrización</t>
        </is>
      </c>
      <c r="F365" s="2" t="inlineStr">
        <is>
          <t>Verificar que el sistema bloquea la publicación de un formulario con errores de parametrización (campo sin tipo, sin nomenclatura válida o configuración inconsistente) y muestra la lista de errores.</t>
        </is>
      </c>
      <c r="G365" s="2" t="inlineStr">
        <is>
          <t>Web</t>
        </is>
      </c>
      <c r="H365" s="2" t="inlineStr">
        <is>
          <t>Usuario Coordinación autenticado; formulario del módulo Ingresos en edición.</t>
        </is>
      </c>
      <c r="I365" s="2" t="inlineStr">
        <is>
          <t>1. Navegar al editor de formularios del módulo Ingresos. 2. Agregar un campo obligatorio 'edad' sin definir su tipo de dato. 3. Agregar un segundo campo con nomenclatura no estándar (identificador 'campoX1'). 4. Hacer clic en 'Publicar'.</t>
        </is>
      </c>
      <c r="J365" s="2" t="inlineStr">
        <is>
          <t>El sistema bloquea la publicación y despliega la lista de errores de parametrización a corregir (campo 'edad' sin tipo de dato; identificador 'campoX1' sin nomenclatura válida); no se genera nueva versión.</t>
        </is>
      </c>
      <c r="K365" s="2" t="inlineStr"/>
      <c r="L365" s="2" t="inlineStr"/>
      <c r="M365" s="2" t="inlineStr">
        <is>
          <t>P0</t>
        </is>
      </c>
      <c r="N365" s="3" t="inlineStr">
        <is>
          <t>Critical</t>
        </is>
      </c>
      <c r="O365" s="2" t="inlineStr"/>
      <c r="P365" s="2" t="inlineStr"/>
      <c r="Q365" s="2" t="inlineStr">
        <is>
          <t>S4</t>
        </is>
      </c>
    </row>
    <row r="366">
      <c r="A366" s="2" t="inlineStr">
        <is>
          <t>EPIC-11</t>
        </is>
      </c>
      <c r="B366" s="2" t="inlineStr">
        <is>
          <t>TC-CEPA-111-002</t>
        </is>
      </c>
      <c r="C366" s="2" t="inlineStr">
        <is>
          <t>Business Rules</t>
        </is>
      </c>
      <c r="D366" s="2" t="inlineStr">
        <is>
          <t>Campos obligatorios del sistema</t>
        </is>
      </c>
      <c r="E366" s="2" t="inlineStr">
        <is>
          <t>Protector de campos obligatorios del sistema</t>
        </is>
      </c>
      <c r="F366" s="2" t="inlineStr">
        <is>
          <t>Verificar que el sistema impide quitar o desactivar un campo obligatorio del sistema (sexo, edad, diagnóstico, modelo de tratamiento, tipos de alta, tipo de ingreso, tipo de convenio) e informa que no es removible.</t>
        </is>
      </c>
      <c r="G366" s="2" t="inlineStr">
        <is>
          <t>Web</t>
        </is>
      </c>
      <c r="H366" s="2" t="inlineStr">
        <is>
          <t>Usuario Coordinación autenticado; formulario del módulo Ingresos contiene el campo obligatorio del sistema 'diagnóstico'.</t>
        </is>
      </c>
      <c r="I366" s="2" t="inlineStr">
        <is>
          <t>1. Navegar al editor de formularios del módulo Ingresos. 2. Seleccionar el campo 'diagnóstico'. 3. Intentar hacer clic en 'Quitar campo'. 4. Intentar hacer clic en 'Desactivar campo'.</t>
        </is>
      </c>
      <c r="J366" s="2" t="inlineStr">
        <is>
          <t>Ambas acciones son impedidas por el sistema; se muestra un mensaje informando que 'diagnóstico' es un campo obligatorio del sistema y no puede ser removido ni desactivado (Decisiones v4 D6).</t>
        </is>
      </c>
      <c r="K366" s="2" t="inlineStr"/>
      <c r="L366" s="2" t="inlineStr"/>
      <c r="M366" s="2" t="inlineStr">
        <is>
          <t>P0</t>
        </is>
      </c>
      <c r="N366" s="3" t="inlineStr">
        <is>
          <t>Critical</t>
        </is>
      </c>
      <c r="O366" s="2" t="inlineStr"/>
      <c r="P366" s="2" t="inlineStr"/>
      <c r="Q366" s="2" t="inlineStr">
        <is>
          <t>S3</t>
        </is>
      </c>
    </row>
    <row r="367">
      <c r="A367" s="2" t="inlineStr">
        <is>
          <t>EPIC-11</t>
        </is>
      </c>
      <c r="B367" s="2" t="inlineStr">
        <is>
          <t>TC-CEPA-111-003</t>
        </is>
      </c>
      <c r="C367" s="2" t="inlineStr">
        <is>
          <t>Functional</t>
        </is>
      </c>
      <c r="D367" s="2" t="inlineStr">
        <is>
          <t>Publicación válida</t>
        </is>
      </c>
      <c r="E367" s="2" t="inlineStr">
        <is>
          <t>Motor de validación de parametrización</t>
        </is>
      </c>
      <c r="F367" s="2" t="inlineStr">
        <is>
          <t>Verificar que un formulario con todos los campos obligatorios presentes y bien parametrizados se publica correctamente y queda marcado como válido / bien parametrizado.</t>
        </is>
      </c>
      <c r="G367" s="2" t="inlineStr">
        <is>
          <t>Web</t>
        </is>
      </c>
      <c r="H367" s="2" t="inlineStr">
        <is>
          <t>Usuario Coordinación autenticado; borrador del formulario de Ingresos con los 7 campos obligatorios del sistema (sexo, edad, diagnóstico, modelo de tratamiento, tipos de alta, tipo de ingreso, tipo de convenio) correctamente parametrizados (tipo, nomenclatura estándar y dominio definidos).</t>
        </is>
      </c>
      <c r="I367" s="2" t="inlineStr">
        <is>
          <t>1. Navegar al editor de formularios del módulo Ingresos. 2. Abrir el borrador con los 7 campos obligatorios bien parametrizados. 3. Hacer clic en 'Publicar'. 4. Verificar el estado del formulario publicado.</t>
        </is>
      </c>
      <c r="J367" s="2" t="inlineStr">
        <is>
          <t>La publicación se completa exitosamente; el formulario queda marcado como 'válido / bien parametrizado' y la nueva versión queda vigente para la captura operativa.</t>
        </is>
      </c>
      <c r="K367" s="2" t="inlineStr"/>
      <c r="L367" s="2" t="inlineStr"/>
      <c r="M367" s="2" t="inlineStr">
        <is>
          <t>P0</t>
        </is>
      </c>
      <c r="N367" s="3" t="inlineStr">
        <is>
          <t>Critical</t>
        </is>
      </c>
      <c r="O367" s="2" t="inlineStr"/>
      <c r="P367" s="2" t="inlineStr"/>
      <c r="Q367" s="2" t="inlineStr">
        <is>
          <t>S1</t>
        </is>
      </c>
    </row>
    <row r="368">
      <c r="A368" s="2" t="inlineStr">
        <is>
          <t>EPIC-11</t>
        </is>
      </c>
      <c r="B368" s="2" t="inlineStr">
        <is>
          <t>TC-CEPA-111-004</t>
        </is>
      </c>
      <c r="C368" s="2" t="inlineStr">
        <is>
          <t>Functional</t>
        </is>
      </c>
      <c r="D368" s="2" t="inlineStr">
        <is>
          <t>Validación de captura obligatoria</t>
        </is>
      </c>
      <c r="E368" s="2" t="inlineStr">
        <is>
          <t>Validador de captura operativa</t>
        </is>
      </c>
      <c r="F368" s="2" t="inlineStr">
        <is>
          <t>Verificar que en la captura operativa el sistema rechaza el guardado de un registro con un campo obligatorio de dominio cerrado vacío, indicando el campo faltante.</t>
        </is>
      </c>
      <c r="G368" s="2" t="inlineStr">
        <is>
          <t>Web</t>
        </is>
      </c>
      <c r="H368" s="2" t="inlineStr">
        <is>
          <t>Usuario Administrativo autenticado; formulario de ingreso publicado con el campo obligatorio de dominio cerrado 'tipo de ingreso'.</t>
        </is>
      </c>
      <c r="I368" s="2" t="inlineStr">
        <is>
          <t>1. Navegar al formulario de nuevo ingreso. 2. Completar los datos del paciente (RUT 12.345.678-5, nombre 'María Pérez', sexo 'Femenino', edad 34). 3. Dejar el campo 'tipo de ingreso' vacío (sin seleccionar valor). 4. Hacer clic en 'Guardar'.</t>
        </is>
      </c>
      <c r="J368" s="2" t="inlineStr">
        <is>
          <t>El sistema rechaza el guardado y muestra un mensaje indicando que el campo obligatorio 'tipo de ingreso' está faltante; el registro no se persiste.</t>
        </is>
      </c>
      <c r="K368" s="2" t="inlineStr"/>
      <c r="L368" s="2" t="inlineStr"/>
      <c r="M368" s="2" t="inlineStr">
        <is>
          <t>P0</t>
        </is>
      </c>
      <c r="N368" s="3" t="inlineStr">
        <is>
          <t>Critical</t>
        </is>
      </c>
      <c r="O368" s="2" t="inlineStr"/>
      <c r="P368" s="2" t="inlineStr"/>
      <c r="Q368" s="2" t="inlineStr">
        <is>
          <t>S4</t>
        </is>
      </c>
    </row>
    <row r="369">
      <c r="A369" s="2" t="inlineStr">
        <is>
          <t>EPIC-11</t>
        </is>
      </c>
      <c r="B369" s="2" t="inlineStr">
        <is>
          <t>TC-CEPA-111-005</t>
        </is>
      </c>
      <c r="C369" s="2" t="inlineStr">
        <is>
          <t>Business Rules</t>
        </is>
      </c>
      <c r="D369" s="2" t="inlineStr">
        <is>
          <t>Nomenclatura estandarizada</t>
        </is>
      </c>
      <c r="E369" s="2" t="inlineStr">
        <is>
          <t>Catálogo de campos obligatorios y nomenclatura estándar</t>
        </is>
      </c>
      <c r="F369" s="2" t="inlineStr">
        <is>
          <t>Verificar que los campos obligatorios del sistema usan nomenclatura estandarizada (identificador y dominio de valores controlados) consistente entre módulos y reportes.</t>
        </is>
      </c>
      <c r="G369" s="2" t="inlineStr">
        <is>
          <t>Web/API</t>
        </is>
      </c>
      <c r="H369" s="2" t="inlineStr">
        <is>
          <t>Usuario Coordinación autenticado; formularios de al menos dos módulos (ej. Ingresos y Altas) publicados con los campos obligatorios del sistema; catálogo de nomenclatura estándar definido.</t>
        </is>
      </c>
      <c r="I369" s="2" t="inlineStr">
        <is>
          <t>1. Consultar vía API la definición del campo 'tipo de convenio' en el formulario del módulo Ingresos (GET /api/v1/formularios/ingresos/config). 2. Consultar la definición del mismo campo en el módulo Altas. 3. Comparar identificador estándar y dominio de valores de ambos módulos. 4. Generar un reporte que cruce datos de ambos módulos por 'tipo de convenio'.</t>
        </is>
      </c>
      <c r="J369" s="2" t="inlineStr">
        <is>
          <t>El campo 'tipo de convenio' presenta el mismo identificador estándar y el mismo dominio controlado de valores en ambos módulos; el reporte cruza la información de forma comparable entre programas y períodos sin discrepancias de nomenclatura.</t>
        </is>
      </c>
      <c r="K369" s="2" t="inlineStr"/>
      <c r="L369" s="2" t="inlineStr"/>
      <c r="M369" s="2" t="inlineStr">
        <is>
          <t>P0</t>
        </is>
      </c>
      <c r="N369" s="4" t="inlineStr">
        <is>
          <t>Major</t>
        </is>
      </c>
      <c r="O369" s="2" t="inlineStr"/>
      <c r="P369" s="2" t="inlineStr"/>
      <c r="Q369" s="2" t="inlineStr">
        <is>
          <t>BR-3</t>
        </is>
      </c>
    </row>
    <row r="370">
      <c r="A370" s="2" t="inlineStr">
        <is>
          <t>EPIC-11</t>
        </is>
      </c>
      <c r="B370" s="2" t="inlineStr">
        <is>
          <t>TC-CEPA-111-006</t>
        </is>
      </c>
      <c r="C370" s="2" t="inlineStr">
        <is>
          <t>Data Integrity</t>
        </is>
      </c>
      <c r="D370" s="2" t="inlineStr">
        <is>
          <t>Catálogo cerrado</t>
        </is>
      </c>
      <c r="E370" s="2" t="inlineStr">
        <is>
          <t>Validador de captura operativa</t>
        </is>
      </c>
      <c r="F370" s="2" t="inlineStr">
        <is>
          <t>Verificar que un campo obligatorio de dominio cerrado solo acepta valores del catálogo definido, rechazando valores fuera de dominio.</t>
        </is>
      </c>
      <c r="G370" s="2" t="inlineStr">
        <is>
          <t>API</t>
        </is>
      </c>
      <c r="H370" s="2" t="inlineStr">
        <is>
          <t>Usuario Administrativo autenticado con token JWT válido; campo 'tipo de convenio' configurado con dominio cerrado (catálogo definido).</t>
        </is>
      </c>
      <c r="I370" s="2" t="inlineStr">
        <is>
          <t>1. Enviar una petición POST /api/v1/ingresos con los datos del registro y el campo 'tipo de convenio' con el valor 'Convenio especial X' (valor no listado en el catálogo). 2. Enviar una segunda petición con un valor válido del catálogo para contrastar.</t>
        </is>
      </c>
      <c r="J370" s="2" t="inlineStr">
        <is>
          <t>La primera petición es rechazada (HTTP 422/400) con un mensaje indicando que el valor está fuera del dominio permitido para 'tipo de convenio'; la segunda petición con valor de catálogo se acepta.</t>
        </is>
      </c>
      <c r="K370" s="2" t="inlineStr"/>
      <c r="L370" s="2" t="inlineStr"/>
      <c r="M370" s="2" t="inlineStr">
        <is>
          <t>P0</t>
        </is>
      </c>
      <c r="N370" s="4" t="inlineStr">
        <is>
          <t>Major</t>
        </is>
      </c>
      <c r="O370" s="2" t="inlineStr"/>
      <c r="P370" s="2" t="inlineStr"/>
      <c r="Q370" s="2" t="inlineStr">
        <is>
          <t>BR-4</t>
        </is>
      </c>
    </row>
    <row r="371">
      <c r="A371" s="2" t="inlineStr">
        <is>
          <t>EPIC-11</t>
        </is>
      </c>
      <c r="B371" s="2" t="inlineStr">
        <is>
          <t>TC-CEPA-111-007</t>
        </is>
      </c>
      <c r="C371" s="2" t="inlineStr">
        <is>
          <t>Business Rules</t>
        </is>
      </c>
      <c r="D371" s="2" t="inlineStr">
        <is>
          <t>Auditoría de validación</t>
        </is>
      </c>
      <c r="E371" s="2" t="inlineStr">
        <is>
          <t>Registro de eventos de auditoría (consumo EPIC-00)</t>
        </is>
      </c>
      <c r="F371" s="2" t="inlineStr">
        <is>
          <t>Verificar que cada intento de publicación (exitoso o bloqueado) y cada intento de remoción de un campo obligatorio se registran en el log de auditoría de EPIC-00.</t>
        </is>
      </c>
      <c r="G371" s="2" t="inlineStr">
        <is>
          <t>Web/API</t>
        </is>
      </c>
      <c r="H371" s="2" t="inlineStr">
        <is>
          <t>Usuario Coordinación autenticado; log de auditoría de EPIC-00 operativo; existen un borrador válido y un borrador con error de parametrización.</t>
        </is>
      </c>
      <c r="I371" s="2" t="inlineStr">
        <is>
          <t>1. Como Coordinación, publicar el borrador válido (publicación exitosa). 2. Intentar publicar el borrador con error de parametrización (publicación bloqueada). 3. Intentar quitar el campo obligatorio 'sexo' (acción impedida). 4. Como Auditor, consultar el log de auditoría filtrando por la fecha actual y el módulo correspondiente.</t>
        </is>
      </c>
      <c r="J371" s="2" t="inlineStr">
        <is>
          <t>El log de auditoría registra los tres eventos: publicación exitosa, intento de publicación bloqueado e intento de remoción de campo obligatorio impedido, cada uno con usuario, acción y timestamp.</t>
        </is>
      </c>
      <c r="K371" s="2" t="inlineStr"/>
      <c r="L371" s="2" t="inlineStr"/>
      <c r="M371" s="2" t="inlineStr">
        <is>
          <t>P0</t>
        </is>
      </c>
      <c r="N371" s="4" t="inlineStr">
        <is>
          <t>Major</t>
        </is>
      </c>
      <c r="O371" s="2" t="inlineStr"/>
      <c r="P371" s="2" t="inlineStr"/>
      <c r="Q371" s="2" t="inlineStr">
        <is>
          <t>BR-5</t>
        </is>
      </c>
    </row>
    <row r="372">
      <c r="A372" s="2" t="inlineStr">
        <is>
          <t>EPIC-11</t>
        </is>
      </c>
      <c r="B372" s="2" t="inlineStr">
        <is>
          <t>TC-CEPA-111-008</t>
        </is>
      </c>
      <c r="C372" s="2" t="inlineStr">
        <is>
          <t>Security</t>
        </is>
      </c>
      <c r="D372" s="2" t="inlineStr">
        <is>
          <t>RBAC</t>
        </is>
      </c>
      <c r="E372" s="2" t="inlineStr">
        <is>
          <t>Control de acceso a parametrización</t>
        </is>
      </c>
      <c r="F372" s="2" t="inlineStr">
        <is>
          <t>Verificar que un usuario Administrativo no puede modificar la parametrización de los campos obligatorios (acción exclusiva de Coordinación).</t>
        </is>
      </c>
      <c r="G372" s="2" t="inlineStr">
        <is>
          <t>Web/API</t>
        </is>
      </c>
      <c r="H372" s="2" t="inlineStr">
        <is>
          <t>Usuario con perfil Administrativo autenticado (JWT válido); RBAC de EPIC-00 operativo.</t>
        </is>
      </c>
      <c r="I372" s="2" t="inlineStr">
        <is>
          <t>1. Autenticarse como usuario Administrativo. 2. Intentar acceder a la configuración de parametrización de campos obligatorios desde la UI. 3. Invocar directamente el endpoint de modificación de parametrización (ej. PUT /api/v1/formularios/ingresos/campos/tipo_ingreso) con el token del Administrativo.</t>
        </is>
      </c>
      <c r="J372" s="2" t="inlineStr">
        <is>
          <t>El acceso es denegado en UI y la API responde HTTP 403 por el RBAC de EPIC-00; solo el perfil Coordinación puede modificar la parametrización.</t>
        </is>
      </c>
      <c r="K372" s="2" t="inlineStr"/>
      <c r="L372" s="2" t="inlineStr"/>
      <c r="M372" s="2" t="inlineStr">
        <is>
          <t>P0</t>
        </is>
      </c>
      <c r="N372" s="3" t="inlineStr">
        <is>
          <t>Critical</t>
        </is>
      </c>
      <c r="O372" s="2" t="inlineStr"/>
      <c r="P372" s="2" t="inlineStr"/>
      <c r="Q372" s="2" t="inlineStr">
        <is>
          <t>TC-legacy</t>
        </is>
      </c>
    </row>
    <row r="373">
      <c r="A373" s="2" t="inlineStr">
        <is>
          <t>EPIC-11</t>
        </is>
      </c>
      <c r="B373" s="2" t="inlineStr">
        <is>
          <t>TC-CEPA-112-001</t>
        </is>
      </c>
      <c r="C373" s="2" t="inlineStr">
        <is>
          <t>Functional</t>
        </is>
      </c>
      <c r="D373" s="2" t="inlineStr">
        <is>
          <t>Extracción de datos PDF</t>
        </is>
      </c>
      <c r="E373" s="2" t="inlineStr">
        <is>
          <t>Extractor de datos PDF</t>
        </is>
      </c>
      <c r="F373" s="2" t="inlineStr">
        <is>
          <t>Verificar que al cargar un PDF legible con datos sociodemográficos, el sistema extrae los datos y muestra los campos pre-llenados en el formulario, listos para revisión.</t>
        </is>
      </c>
      <c r="G373" s="2" t="inlineStr">
        <is>
          <t>Web</t>
        </is>
      </c>
      <c r="H373" s="2" t="inlineStr">
        <is>
          <t>Usuario Administrativo autenticado con permiso de captura sobre el módulo destino; archivo PDF sociodemográfico con capa de texto disponible (contiene RUT 15.678.234-3, nombre, sexo, fecha de nacimiento, comuna).</t>
        </is>
      </c>
      <c r="I373" s="2" t="inlineStr">
        <is>
          <t>1. Navegar al módulo de captura de ingresos. 2. Hacer clic en 'Cargar documento PDF'. 3. Seleccionar el archivo 'ficha_sociodemografica.pdf'. 4. Hacer clic en 'Procesar'.</t>
        </is>
      </c>
      <c r="J373" s="2" t="inlineStr">
        <is>
          <t>El sistema procesa el documento y muestra el formulario con los campos extraídos pre-llenados (RUT, nombre, sexo, fecha de nacimiento, comuna), en modo editable y listos para revisión antes de guardar.</t>
        </is>
      </c>
      <c r="K373" s="2" t="inlineStr"/>
      <c r="L373" s="2" t="inlineStr"/>
      <c r="M373" s="2" t="inlineStr">
        <is>
          <t>P1</t>
        </is>
      </c>
      <c r="N373" s="4" t="inlineStr">
        <is>
          <t>Major</t>
        </is>
      </c>
      <c r="O373" s="2" t="inlineStr"/>
      <c r="P373" s="2" t="inlineStr"/>
      <c r="Q373" s="2" t="inlineStr">
        <is>
          <t>S1</t>
        </is>
      </c>
    </row>
    <row r="374">
      <c r="A374" s="2" t="inlineStr">
        <is>
          <t>EPIC-11</t>
        </is>
      </c>
      <c r="B374" s="2" t="inlineStr">
        <is>
          <t>TC-CEPA-112-002</t>
        </is>
      </c>
      <c r="C374" s="2" t="inlineStr">
        <is>
          <t>Functional</t>
        </is>
      </c>
      <c r="D374" s="2" t="inlineStr">
        <is>
          <t>Edición prevalece sobre extracción</t>
        </is>
      </c>
      <c r="E374" s="2" t="inlineStr">
        <is>
          <t>Extractor de datos PDF</t>
        </is>
      </c>
      <c r="F374" s="2" t="inlineStr">
        <is>
          <t>Verificar que el administrativo puede corregir los valores extraídos del PDF antes de guardar y que la edición humana prevalece sobre la extracción automática.</t>
        </is>
      </c>
      <c r="G374" s="2" t="inlineStr">
        <is>
          <t>Web</t>
        </is>
      </c>
      <c r="H374" s="2" t="inlineStr">
        <is>
          <t>Usuario Administrativo autenticado; PDF procesado con datos extraídos pre-llenados en el formulario, incluyendo el RUT extraído erróneamente como 15.678.234-5.</t>
        </is>
      </c>
      <c r="I374" s="2" t="inlineStr">
        <is>
          <t>1. Revisar los campos pre-llenados por la extracción. 2. Corregir el campo RUT de '15.678.234-5' a '15.678.234-3' (DV correcto). 3. Hacer clic en 'Confirmar y guardar'. 4. Consultar el registro guardado.</t>
        </is>
      </c>
      <c r="J374" s="2" t="inlineStr">
        <is>
          <t>El sistema guarda el registro con el RUT editado '15.678.234-3' (el valor corregido por el administrativo, no el extraído automáticamente); la edición humana prevalece sobre la extracción.</t>
        </is>
      </c>
      <c r="K374" s="2" t="inlineStr"/>
      <c r="L374" s="2" t="inlineStr"/>
      <c r="M374" s="2" t="inlineStr">
        <is>
          <t>P1</t>
        </is>
      </c>
      <c r="N374" s="4" t="inlineStr">
        <is>
          <t>Major</t>
        </is>
      </c>
      <c r="O374" s="2" t="inlineStr"/>
      <c r="P374" s="2" t="inlineStr"/>
      <c r="Q374" s="2" t="inlineStr">
        <is>
          <t>S1</t>
        </is>
      </c>
    </row>
    <row r="375">
      <c r="A375" s="2" t="inlineStr">
        <is>
          <t>EPIC-11</t>
        </is>
      </c>
      <c r="B375" s="2" t="inlineStr">
        <is>
          <t>TC-CEPA-112-003</t>
        </is>
      </c>
      <c r="C375" s="2" t="inlineStr">
        <is>
          <t>Functional</t>
        </is>
      </c>
      <c r="D375" s="2" t="inlineStr">
        <is>
          <t>Formato no soportado</t>
        </is>
      </c>
      <c r="E375" s="2" t="inlineStr">
        <is>
          <t>Validador de carga de documentos</t>
        </is>
      </c>
      <c r="F375" s="2" t="inlineStr">
        <is>
          <t>Verificar que al cargar un archivo que no es PDF, el sistema informa que no pudo extraer datos y permite la captura manual sin bloquear el flujo.</t>
        </is>
      </c>
      <c r="G375" s="2" t="inlineStr">
        <is>
          <t>Web</t>
        </is>
      </c>
      <c r="H375" s="2" t="inlineStr">
        <is>
          <t>Usuario Administrativo autenticado con permiso de captura; archivo 'ficha.docx' disponible en el equipo.</t>
        </is>
      </c>
      <c r="I375" s="2" t="inlineStr">
        <is>
          <t>1. Navegar al módulo de captura de ingresos. 2. Hacer clic en 'Cargar documento PDF'. 3. Seleccionar el archivo 'ficha.docx'. 4. Hacer clic en 'Procesar'.</t>
        </is>
      </c>
      <c r="J375" s="2" t="inlineStr">
        <is>
          <t>El sistema muestra un mensaje de formato no soportado / no fue posible extraer datos, y habilita la captura manual del formulario sin bloquear el flujo de trabajo.</t>
        </is>
      </c>
      <c r="K375" s="2" t="inlineStr"/>
      <c r="L375" s="2" t="inlineStr"/>
      <c r="M375" s="2" t="inlineStr">
        <is>
          <t>P1</t>
        </is>
      </c>
      <c r="N375" s="5" t="inlineStr">
        <is>
          <t>Medium</t>
        </is>
      </c>
      <c r="O375" s="2" t="inlineStr"/>
      <c r="P375" s="2" t="inlineStr"/>
      <c r="Q375" s="2" t="inlineStr">
        <is>
          <t>S3</t>
        </is>
      </c>
    </row>
    <row r="376">
      <c r="A376" s="2" t="inlineStr">
        <is>
          <t>EPIC-11</t>
        </is>
      </c>
      <c r="B376" s="2" t="inlineStr">
        <is>
          <t>TC-CEPA-112-004</t>
        </is>
      </c>
      <c r="C376" s="2" t="inlineStr">
        <is>
          <t>Security</t>
        </is>
      </c>
      <c r="D376" s="2" t="inlineStr">
        <is>
          <t>RBAC</t>
        </is>
      </c>
      <c r="E376" s="2" t="inlineStr">
        <is>
          <t>Control de acceso a carga de documentos</t>
        </is>
      </c>
      <c r="F376" s="2" t="inlineStr">
        <is>
          <t>Verificar que un usuario sin permiso de captura sobre el módulo destino (ej. Auditor, solo lectura) no puede cargar un PDF para extracción.</t>
        </is>
      </c>
      <c r="G376" s="2" t="inlineStr">
        <is>
          <t>Web/API</t>
        </is>
      </c>
      <c r="H376" s="2" t="inlineStr">
        <is>
          <t>Usuario con perfil Auditor autenticado (JWT válido); RBAC de EPIC-00 operativo; archivo PDF válido disponible.</t>
        </is>
      </c>
      <c r="I376" s="2" t="inlineStr">
        <is>
          <t>1. Autenticarse como usuario Auditor. 2. Intentar acceder a la opción 'Cargar documento PDF' en el módulo de ingresos. 3. Invocar directamente el endpoint de carga (ej. POST /api/v1/documentos/pdf/extraer) con el token del Auditor.</t>
        </is>
      </c>
      <c r="J376" s="2" t="inlineStr">
        <is>
          <t>La acción es denegada: la opción de carga no está disponible/bloqueada en UI y la API responde HTTP 403 por el RBAC de EPIC-00.</t>
        </is>
      </c>
      <c r="K376" s="2" t="inlineStr"/>
      <c r="L376" s="2" t="inlineStr"/>
      <c r="M376" s="2" t="inlineStr">
        <is>
          <t>P1</t>
        </is>
      </c>
      <c r="N376" s="3" t="inlineStr">
        <is>
          <t>Critical</t>
        </is>
      </c>
      <c r="O376" s="2" t="inlineStr"/>
      <c r="P376" s="2" t="inlineStr"/>
      <c r="Q376" s="2" t="inlineStr">
        <is>
          <t>S3</t>
        </is>
      </c>
    </row>
    <row r="377">
      <c r="A377" s="2" t="inlineStr">
        <is>
          <t>EPIC-11</t>
        </is>
      </c>
      <c r="B377" s="2" t="inlineStr">
        <is>
          <t>TC-CEPA-112-005</t>
        </is>
      </c>
      <c r="C377" s="2" t="inlineStr">
        <is>
          <t>Integration</t>
        </is>
      </c>
      <c r="D377" s="2" t="inlineStr">
        <is>
          <t>No escritura en SALUTEM/SAM</t>
        </is>
      </c>
      <c r="E377" s="2" t="inlineStr">
        <is>
          <t>Extractor de datos PDF</t>
        </is>
      </c>
      <c r="F377" s="2" t="inlineStr">
        <is>
          <t>Verificar que la lectura de PDF alimenta únicamente los módulos del Sistema CEPA y que el aplicativo no escribe datos sobre SALUTEM/SAM (Decisiones v4 D12).</t>
        </is>
      </c>
      <c r="G377" s="2" t="inlineStr">
        <is>
          <t>API</t>
        </is>
      </c>
      <c r="H377" s="2" t="inlineStr">
        <is>
          <t>Usuario Administrativo autenticado; PDF sociodemográfico procesado y datos confirmados/guardados en el módulo de ingresos de CEPA; acceso de verificación (solo lectura) al estado de SALUTEM/SAM y a los logs de integración.</t>
        </is>
      </c>
      <c r="I377" s="2" t="inlineStr">
        <is>
          <t>1. Cargar y procesar el PDF 'ficha_sociodemografica.pdf' en el módulo de ingresos. 2. Confirmar y guardar los datos extraídos. 3. Revisar los logs/trazas de integración del backend en busca de peticiones de escritura hacia SALUTEM/SAM. 4. Verificar que el registro quedó persistido en la base de datos del Sistema CEPA.</t>
        </is>
      </c>
      <c r="J377" s="2" t="inlineStr">
        <is>
          <t>Los datos quedan guardados únicamente en los módulos del Sistema CEPA; no se registra ninguna petición ni operación de escritura hacia SALUTEM/SAM.</t>
        </is>
      </c>
      <c r="K377" s="2" t="inlineStr"/>
      <c r="L377" s="2" t="inlineStr"/>
      <c r="M377" s="2" t="inlineStr">
        <is>
          <t>P1</t>
        </is>
      </c>
      <c r="N377" s="3" t="inlineStr">
        <is>
          <t>Critical</t>
        </is>
      </c>
      <c r="O377" s="2" t="inlineStr"/>
      <c r="P377" s="2" t="inlineStr"/>
      <c r="Q377" s="2" t="inlineStr">
        <is>
          <t>BR-2</t>
        </is>
      </c>
    </row>
    <row r="378">
      <c r="A378" s="2" t="inlineStr">
        <is>
          <t>EPIC-11</t>
        </is>
      </c>
      <c r="B378" s="2" t="inlineStr">
        <is>
          <t>TC-CEPA-112-006</t>
        </is>
      </c>
      <c r="C378" s="2" t="inlineStr">
        <is>
          <t>Business Rules</t>
        </is>
      </c>
      <c r="D378" s="2" t="inlineStr">
        <is>
          <t>Degradación a captura manual</t>
        </is>
      </c>
      <c r="E378" s="2" t="inlineStr">
        <is>
          <t>Extractor de datos PDF</t>
        </is>
      </c>
      <c r="F378" s="2" t="inlineStr">
        <is>
          <t>Verificar que ante un PDF escaneado sin capa de texto la extracción degrada con gracia a captura manual, sin perder el documento cargado.</t>
        </is>
      </c>
      <c r="G378" s="2" t="inlineStr">
        <is>
          <t>Web</t>
        </is>
      </c>
      <c r="H378" s="2" t="inlineStr">
        <is>
          <t>Usuario Administrativo autenticado con permiso de captura; PDF escaneado como imagen sin capa de texto extraíble ('ficha_escaneada.pdf').</t>
        </is>
      </c>
      <c r="I378" s="2" t="inlineStr">
        <is>
          <t>1. Navegar al módulo de captura de ingresos. 2. Hacer clic en 'Cargar documento PDF'. 3. Seleccionar 'ficha_escaneada.pdf'. 4. Hacer clic en 'Procesar'. 5. Continuar con la captura manual de los datos y guardar. 6. Consultar el registro guardado y sus documentos adjuntos.</t>
        </is>
      </c>
      <c r="J378" s="2" t="inlineStr">
        <is>
          <t>El sistema informa que la extracción falló (PDF sin texto extraíble) y ofrece la captura manual sin bloquear el flujo; el documento cargado se conserva asociado al registro (no se pierde).</t>
        </is>
      </c>
      <c r="K378" s="2" t="inlineStr"/>
      <c r="L378" s="2" t="inlineStr"/>
      <c r="M378" s="2" t="inlineStr">
        <is>
          <t>P1</t>
        </is>
      </c>
      <c r="N378" s="4" t="inlineStr">
        <is>
          <t>Major</t>
        </is>
      </c>
      <c r="O378" s="2" t="inlineStr"/>
      <c r="P378" s="2" t="inlineStr"/>
      <c r="Q378" s="2" t="inlineStr">
        <is>
          <t>BR-3</t>
        </is>
      </c>
    </row>
    <row r="379">
      <c r="A379" s="2" t="inlineStr">
        <is>
          <t>EPIC-11</t>
        </is>
      </c>
      <c r="B379" s="2" t="inlineStr">
        <is>
          <t>TC-CEPA-112-007</t>
        </is>
      </c>
      <c r="C379" s="2" t="inlineStr">
        <is>
          <t>Business Rules</t>
        </is>
      </c>
      <c r="D379" s="2" t="inlineStr">
        <is>
          <t>Validación de obligatorios en confirmación</t>
        </is>
      </c>
      <c r="E379" s="2" t="inlineStr">
        <is>
          <t>Validador de captura operativa</t>
        </is>
      </c>
      <c r="F379" s="2" t="inlineStr">
        <is>
          <t>Verificar que los datos extraídos/editados del PDF se validan contra las reglas de campos obligatorios y dominios (CEPA-111) antes de guardar, bloqueando el guardado si falta un obligatorio.</t>
        </is>
      </c>
      <c r="G379" s="2" t="inlineStr">
        <is>
          <t>Web</t>
        </is>
      </c>
      <c r="H379" s="2" t="inlineStr">
        <is>
          <t>Usuario Administrativo autenticado; PDF procesado con datos extraídos pre-llenados donde el campo obligatorio 'tipo de ingreso' no fue detectado (quedó vacío).</t>
        </is>
      </c>
      <c r="I379" s="2" t="inlineStr">
        <is>
          <t>1. Revisar los campos pre-llenados por la extracción. 2. Sin completar el campo 'tipo de ingreso', hacer clic en 'Confirmar y guardar'.</t>
        </is>
      </c>
      <c r="J379" s="2" t="inlineStr">
        <is>
          <t>El guardado es bloqueado por la validación de CEPA-111; el sistema indica que el campo obligatorio 'tipo de ingreso' está vacío y el registro no se persiste hasta completarlo.</t>
        </is>
      </c>
      <c r="K379" s="2" t="inlineStr"/>
      <c r="L379" s="2" t="inlineStr"/>
      <c r="M379" s="2" t="inlineStr">
        <is>
          <t>P1</t>
        </is>
      </c>
      <c r="N379" s="4" t="inlineStr">
        <is>
          <t>Major</t>
        </is>
      </c>
      <c r="O379" s="2" t="inlineStr"/>
      <c r="P379" s="2" t="inlineStr"/>
      <c r="Q379" s="2" t="inlineStr">
        <is>
          <t>BR-4</t>
        </is>
      </c>
    </row>
    <row r="380">
      <c r="A380" s="2" t="inlineStr">
        <is>
          <t>EPIC-11</t>
        </is>
      </c>
      <c r="B380" s="2" t="inlineStr">
        <is>
          <t>TC-CEPA-112-008</t>
        </is>
      </c>
      <c r="C380" s="2" t="inlineStr">
        <is>
          <t>Business Rules</t>
        </is>
      </c>
      <c r="D380" s="2" t="inlineStr">
        <is>
          <t>Auditoría de carga y guardado</t>
        </is>
      </c>
      <c r="E380" s="2" t="inlineStr">
        <is>
          <t>Registro de eventos de auditoría (consumo EPIC-00)</t>
        </is>
      </c>
      <c r="F380" s="2" t="inlineStr">
        <is>
          <t>Verificar que la carga del documento PDF y el guardado de los datos extraídos/editados quedan registrados en el log de auditoría de EPIC-00.</t>
        </is>
      </c>
      <c r="G380" s="2" t="inlineStr">
        <is>
          <t>Web/API</t>
        </is>
      </c>
      <c r="H380" s="2" t="inlineStr">
        <is>
          <t>Usuario Administrativo autenticado con permiso de captura; log de auditoría de EPIC-00 operativo; PDF sociodemográfico legible disponible.</t>
        </is>
      </c>
      <c r="I380" s="2" t="inlineStr">
        <is>
          <t>1. Como Administrativo, cargar y procesar el PDF 'ficha_sociodemografica.pdf'. 2. Editar un valor extraído y confirmar el guardado. 3. Como Auditor, consultar el log de auditoría filtrando por el usuario administrativo y la fecha actual.</t>
        </is>
      </c>
      <c r="J380" s="2" t="inlineStr">
        <is>
          <t>El log de auditoría contiene los eventos de carga del documento y de guardado de los datos extraídos/editados, cada uno con usuario, acción, documento/registro afectado y timestamp.</t>
        </is>
      </c>
      <c r="K380" s="2" t="inlineStr"/>
      <c r="L380" s="2" t="inlineStr"/>
      <c r="M380" s="2" t="inlineStr">
        <is>
          <t>P1</t>
        </is>
      </c>
      <c r="N380" s="4" t="inlineStr">
        <is>
          <t>Major</t>
        </is>
      </c>
      <c r="O380" s="2" t="inlineStr"/>
      <c r="P380" s="2" t="inlineStr"/>
      <c r="Q380" s="2" t="inlineStr">
        <is>
          <t>BR-5</t>
        </is>
      </c>
    </row>
    <row r="381">
      <c r="A381" s="2" t="inlineStr">
        <is>
          <t>EPIC-12</t>
        </is>
      </c>
      <c r="B381" s="2" t="inlineStr">
        <is>
          <t>TC-CEPA-120-001</t>
        </is>
      </c>
      <c r="C381" s="2" t="inlineStr">
        <is>
          <t>Functional</t>
        </is>
      </c>
      <c r="D381" s="2" t="inlineStr">
        <is>
          <t>Autenticación JWT</t>
        </is>
      </c>
      <c r="E381" s="2" t="inlineStr">
        <is>
          <t>Gateway de autenticación de la API</t>
        </is>
      </c>
      <c r="F381" s="2" t="inlineStr">
        <is>
          <t>Verificar que un cliente externo con token JWT válido y vigente obtiene respuesta HTTP estándar (200/201) con cuerpo JSON conforme al contrato al invocar un endpoint bajo /api/v1.</t>
        </is>
      </c>
      <c r="G381" s="2" t="inlineStr">
        <is>
          <t>API</t>
        </is>
      </c>
      <c r="H381" s="2" t="inlineStr">
        <is>
          <t>API v1 desplegada en QA; cliente de integración registrado con token JWT firmado y vigente; existe al menos un paciente registrado (RUT 12.345.678-5).</t>
        </is>
      </c>
      <c r="I381" s="2" t="inlineStr">
        <is>
          <t>1. Obtener un token JWT válido para el cliente de integración. 2. Enviar GET a /api/v1/pacientes?rut=12.345.678-5 con header 'Authorization: Bearer &lt;jwt&gt;' y 'Accept: application/json'. 3. Inspeccionar el código HTTP, el header Content-Type y el cuerpo de la respuesta.</t>
        </is>
      </c>
      <c r="J381" s="2" t="inlineStr">
        <is>
          <t>La API responde 200 OK, Content-Type application/json y cuerpo JSON conforme al esquema del contrato v1 (campos y tipos según OpenAPI).</t>
        </is>
      </c>
      <c r="K381" s="2" t="inlineStr"/>
      <c r="L381" s="2" t="inlineStr"/>
      <c r="M381" s="2" t="inlineStr">
        <is>
          <t>P0</t>
        </is>
      </c>
      <c r="N381" s="3" t="inlineStr">
        <is>
          <t>Critical</t>
        </is>
      </c>
      <c r="O381" s="2" t="inlineStr"/>
      <c r="P381" s="2" t="inlineStr"/>
      <c r="Q381" s="2" t="inlineStr">
        <is>
          <t>S1</t>
        </is>
      </c>
    </row>
    <row r="382">
      <c r="A382" s="2" t="inlineStr">
        <is>
          <t>EPIC-12</t>
        </is>
      </c>
      <c r="B382" s="2" t="inlineStr">
        <is>
          <t>TC-CEPA-120-002</t>
        </is>
      </c>
      <c r="C382" s="2" t="inlineStr">
        <is>
          <t>Security</t>
        </is>
      </c>
      <c r="D382" s="2" t="inlineStr">
        <is>
          <t>Rechazo sin autenticación</t>
        </is>
      </c>
      <c r="E382" s="2" t="inlineStr">
        <is>
          <t>Gateway de autenticación de la API</t>
        </is>
      </c>
      <c r="F382" s="2" t="inlineStr">
        <is>
          <t>Verificar que un cliente sin token o con JWT inválido/expirado recibe 401 Unauthorized con cuerpo JSON de error sin exponer datos del recurso.</t>
        </is>
      </c>
      <c r="G382" s="2" t="inlineStr">
        <is>
          <t>API</t>
        </is>
      </c>
      <c r="H382" s="2" t="inlineStr">
        <is>
          <t>API v1 desplegada en QA; endpoint protegido disponible (/api/v1/pacientes); se dispone de un JWT expirado y de un JWT con firma alterada.</t>
        </is>
      </c>
      <c r="I382" s="2" t="inlineStr">
        <is>
          <t>1. Enviar GET a /api/v1/pacientes sin header Authorization. 2. Enviar GET a /api/v1/pacientes con header 'Authorization: Bearer &lt;jwt_expirado&gt;'. 3. Enviar GET a /api/v1/pacientes con header 'Authorization: Bearer &lt;jwt_firma_alterada&gt;'. 4. Inspeccionar código HTTP y cuerpo de cada respuesta.</t>
        </is>
      </c>
      <c r="J382" s="2" t="inlineStr">
        <is>
          <t>Las tres solicitudes responden 401 Unauthorized con cuerpo JSON de error uniforme; ninguna respuesta contiene datos de pacientes ni detalles internos del sistema.</t>
        </is>
      </c>
      <c r="K382" s="2" t="inlineStr"/>
      <c r="L382" s="2" t="inlineStr"/>
      <c r="M382" s="2" t="inlineStr">
        <is>
          <t>P0</t>
        </is>
      </c>
      <c r="N382" s="3" t="inlineStr">
        <is>
          <t>Critical</t>
        </is>
      </c>
      <c r="O382" s="2" t="inlineStr"/>
      <c r="P382" s="2" t="inlineStr"/>
      <c r="Q382" s="2" t="inlineStr">
        <is>
          <t>S3</t>
        </is>
      </c>
    </row>
    <row r="383">
      <c r="A383" s="2" t="inlineStr">
        <is>
          <t>EPIC-12</t>
        </is>
      </c>
      <c r="B383" s="2" t="inlineStr">
        <is>
          <t>TC-CEPA-120-003</t>
        </is>
      </c>
      <c r="C383" s="2" t="inlineStr">
        <is>
          <t>Functional</t>
        </is>
      </c>
      <c r="D383" s="2" t="inlineStr">
        <is>
          <t>Documentación OpenAPI</t>
        </is>
      </c>
      <c r="E383" s="2" t="inlineStr">
        <is>
          <t>Generador de especificación OpenAPI/Swagger</t>
        </is>
      </c>
      <c r="F383" s="2" t="inlineStr">
        <is>
          <t>Verificar que Swagger UI / OpenAPI lista el 100% de los endpoints con esquemas de request/response, códigos de error y requisitos de autenticación.</t>
        </is>
      </c>
      <c r="G383" s="2" t="inlineStr">
        <is>
          <t>Web/API</t>
        </is>
      </c>
      <c r="H383" s="2" t="inlineStr">
        <is>
          <t>API v1 desplegada en QA con documentación automática habilitada; inventario de endpoints implementados disponible (rutas del router FastAPI).</t>
        </is>
      </c>
      <c r="I383" s="2" t="inlineStr">
        <is>
          <t>1. Acceder en el navegador a la ruta de Swagger UI (/docs). 2. Descargar el documento OpenAPI (/openapi.json). 3. Comparar la lista de endpoints del documento contra el inventario de rutas implementadas. 4. Revisar para cada endpoint la presencia de esquemas de request/response, códigos de error documentados y el requisito de seguridad (bearer JWT).</t>
        </is>
      </c>
      <c r="J383" s="2" t="inlineStr">
        <is>
          <t>Swagger UI carga correctamente; el documento OpenAPI es válido y contiene el 100% de los endpoints implementados, cada uno con esquemas de request/response, códigos de error y requisito de autenticación declarado (criterio OI3).</t>
        </is>
      </c>
      <c r="K383" s="2" t="inlineStr"/>
      <c r="L383" s="2" t="inlineStr"/>
      <c r="M383" s="2" t="inlineStr">
        <is>
          <t>P0</t>
        </is>
      </c>
      <c r="N383" s="4" t="inlineStr">
        <is>
          <t>Major</t>
        </is>
      </c>
      <c r="O383" s="2" t="inlineStr"/>
      <c r="P383" s="2" t="inlineStr"/>
      <c r="Q383" s="2" t="inlineStr">
        <is>
          <t>S1</t>
        </is>
      </c>
    </row>
    <row r="384">
      <c r="A384" s="2" t="inlineStr">
        <is>
          <t>EPIC-12</t>
        </is>
      </c>
      <c r="B384" s="2" t="inlineStr">
        <is>
          <t>TC-CEPA-120-004</t>
        </is>
      </c>
      <c r="C384" s="2" t="inlineStr">
        <is>
          <t>Functional</t>
        </is>
      </c>
      <c r="D384" s="2" t="inlineStr">
        <is>
          <t>Rate limiting</t>
        </is>
      </c>
      <c r="E384" s="2" t="inlineStr">
        <is>
          <t>Motor de rate limiting/throttling</t>
        </is>
      </c>
      <c r="F384" s="2" t="inlineStr">
        <is>
          <t>Verificar que al superar la cuota de solicitudes por ventana de tiempo la API responde 429 Too Many Requests indicando el tiempo de reintento.</t>
        </is>
      </c>
      <c r="G384" s="2" t="inlineStr">
        <is>
          <t>API</t>
        </is>
      </c>
      <c r="H384" s="2" t="inlineStr">
        <is>
          <t>API v1 desplegada en QA; rate limiting configurado con cuota conocida (ej. N=100 solicitudes por ventana de 60 segundos) para el token de prueba.</t>
        </is>
      </c>
      <c r="I384" s="2" t="inlineStr">
        <is>
          <t>1. Obtener un token JWT válido para el cliente de prueba. 2. Enviar N solicitudes GET a /api/v1/pacientes dentro de la misma ventana de 60 segundos. 3. Enviar la solicitud N+1 dentro de la misma ventana. 4. Inspeccionar código HTTP, cuerpo y headers (Retry-After) de la solicitud N+1. 5. Esperar el fin de la ventana y enviar una solicitud adicional.</t>
        </is>
      </c>
      <c r="J384" s="2" t="inlineStr">
        <is>
          <t>Las primeras N solicitudes responden 2xx; la solicitud N+1 responde 429 Too Many Requests con indicación del tiempo de reintento (header Retry-After o campo en el JSON de error); tras expirar la ventana el cliente vuelve a recibir 2xx.</t>
        </is>
      </c>
      <c r="K384" s="2" t="inlineStr"/>
      <c r="L384" s="2" t="inlineStr"/>
      <c r="M384" s="2" t="inlineStr">
        <is>
          <t>P0</t>
        </is>
      </c>
      <c r="N384" s="4" t="inlineStr">
        <is>
          <t>Major</t>
        </is>
      </c>
      <c r="O384" s="2" t="inlineStr"/>
      <c r="P384" s="2" t="inlineStr"/>
      <c r="Q384" s="2" t="inlineStr">
        <is>
          <t>S3</t>
        </is>
      </c>
    </row>
    <row r="385">
      <c r="A385" s="2" t="inlineStr">
        <is>
          <t>EPIC-12</t>
        </is>
      </c>
      <c r="B385" s="2" t="inlineStr">
        <is>
          <t>TC-CEPA-120-005</t>
        </is>
      </c>
      <c r="C385" s="2" t="inlineStr">
        <is>
          <t>Regression</t>
        </is>
      </c>
      <c r="D385" s="2" t="inlineStr">
        <is>
          <t>Versionado de contrato</t>
        </is>
      </c>
      <c r="E385" s="2" t="inlineStr">
        <is>
          <t>Enrutador de versiones de la API</t>
        </is>
      </c>
      <c r="F385" s="2" t="inlineStr">
        <is>
          <t>Verificar que al publicar v2 con cambios incompatibles, v1 sigue operativa bajo su prefijo y los clientes existentes no se rompen.</t>
        </is>
      </c>
      <c r="G385" s="2" t="inlineStr">
        <is>
          <t>API</t>
        </is>
      </c>
      <c r="H385" s="2" t="inlineStr">
        <is>
          <t>Versiones /api/v1 y /api/v2 publicadas en QA, con v2 conteniendo al menos un cambio incompatible sobre un recurso común; suite de contrato de v1 disponible.</t>
        </is>
      </c>
      <c r="I385" s="2" t="inlineStr">
        <is>
          <t>1. Invocar el mismo recurso lógico (ej. Pacientes) en /api/v1/pacientes y en /api/v2/pacientes con un JWT válido. 2. Validar la respuesta de cada versión contra su respectivo esquema OpenAPI. 3. Ejecutar la suite de contrato de v1 completa tras el despliegue de v2.</t>
        </is>
      </c>
      <c r="J385" s="2" t="inlineStr">
        <is>
          <t>Ambos prefijos responden según su propio contrato; la suite de contrato de v1 pasa sin cambios: ningún cliente de v1 se rompe por la publicación de v2.</t>
        </is>
      </c>
      <c r="K385" s="2" t="inlineStr"/>
      <c r="L385" s="2" t="inlineStr"/>
      <c r="M385" s="2" t="inlineStr">
        <is>
          <t>P0</t>
        </is>
      </c>
      <c r="N385" s="4" t="inlineStr">
        <is>
          <t>Major</t>
        </is>
      </c>
      <c r="O385" s="2" t="inlineStr"/>
      <c r="P385" s="2" t="inlineStr"/>
      <c r="Q385" s="2" t="inlineStr">
        <is>
          <t>S2</t>
        </is>
      </c>
    </row>
    <row r="386">
      <c r="A386" s="2" t="inlineStr">
        <is>
          <t>EPIC-12</t>
        </is>
      </c>
      <c r="B386" s="2" t="inlineStr">
        <is>
          <t>TC-CEPA-120-006</t>
        </is>
      </c>
      <c r="C386" s="2" t="inlineStr">
        <is>
          <t>Business Rules</t>
        </is>
      </c>
      <c r="D386" s="2" t="inlineStr">
        <is>
          <t>Formato uniforme de errores</t>
        </is>
      </c>
      <c r="E386" s="2" t="inlineStr">
        <is>
          <t>Manejador global de errores de la API</t>
        </is>
      </c>
      <c r="F386" s="2" t="inlineStr">
        <is>
          <t>Verificar que los errores de la API devuelven códigos HTTP estándar (400, 401, 403, 404, 409, 422, 429, 500) con cuerpo JSON uniforme.</t>
        </is>
      </c>
      <c r="G386" s="2" t="inlineStr">
        <is>
          <t>API</t>
        </is>
      </c>
      <c r="H386" s="2" t="inlineStr">
        <is>
          <t>API v1 desplegada en QA; token JWT válido; token de rol sin permisos de escritura; esquema del cuerpo de error uniforme definido en el contrato.</t>
        </is>
      </c>
      <c r="I386" s="2" t="inlineStr">
        <is>
          <t>1. Enviar GET a /api/v1/pacientes/999999 (recurso inexistente) con JWT válido. 2. Enviar POST a /api/v1/pacientes con payload que incumple el esquema (ej. RUT vacío). 3. Enviar PATCH a un recurso con un JWT de rol sin permiso de escritura. 4. Enviar GET sin token. 5. Comparar el cuerpo JSON de cada respuesta de error contra el esquema uniforme (mismos campos: código, mensaje, detalle).</t>
        </is>
      </c>
      <c r="J386" s="2" t="inlineStr">
        <is>
          <t>Cada escenario responde con su código estándar (404, 422, 403, 401 respectivamente) y todos los cuerpos de error comparten la misma estructura JSON uniforme definida en el contrato; ninguno expone trazas internas.</t>
        </is>
      </c>
      <c r="K386" s="2" t="inlineStr"/>
      <c r="L386" s="2" t="inlineStr"/>
      <c r="M386" s="2" t="inlineStr">
        <is>
          <t>P0</t>
        </is>
      </c>
      <c r="N386" s="4" t="inlineStr">
        <is>
          <t>Major</t>
        </is>
      </c>
      <c r="O386" s="2" t="inlineStr"/>
      <c r="P386" s="2" t="inlineStr"/>
      <c r="Q386" s="2" t="inlineStr">
        <is>
          <t>BR-3</t>
        </is>
      </c>
    </row>
    <row r="387">
      <c r="A387" s="2" t="inlineStr">
        <is>
          <t>EPIC-12</t>
        </is>
      </c>
      <c r="B387" s="2" t="inlineStr">
        <is>
          <t>TC-CEPA-120-007</t>
        </is>
      </c>
      <c r="C387" s="2" t="inlineStr">
        <is>
          <t>Business Rules</t>
        </is>
      </c>
      <c r="D387" s="2" t="inlineStr">
        <is>
          <t>Auditoría de operaciones</t>
        </is>
      </c>
      <c r="E387" s="2" t="inlineStr">
        <is>
          <t>Log de auditoría de integraciones</t>
        </is>
      </c>
      <c r="F387" s="2" t="inlineStr">
        <is>
          <t>Verificar que toda operación de integración que crea o modifica datos queda registrada en el log de auditoría con quién/qué/cuándo, consistente con el RBAC.</t>
        </is>
      </c>
      <c r="G387" s="2" t="inlineStr">
        <is>
          <t>API</t>
        </is>
      </c>
      <c r="H387" s="2" t="inlineStr">
        <is>
          <t>API v1 desplegada en QA; token JWT válido asociado a un cliente identificable; acceso de lectura al log de auditoría.</t>
        </is>
      </c>
      <c r="I387" s="2" t="inlineStr">
        <is>
          <t>1. Enviar POST a /api/v1/pacientes con un paciente nuevo (RUT 12.345.678-5) usando el JWT del cliente de prueba. 2. Enviar PATCH al mismo recurso modificando un campo. 3. Consultar el log de auditoría filtrando por el cliente y la ventana de tiempo de las operaciones. 4. Verificar el contenido de cada entrada de auditoría.</t>
        </is>
      </c>
      <c r="J387" s="2" t="inlineStr">
        <is>
          <t>El log de auditoría contiene una entrada por cada operación de creación y modificación, registrando la identidad del cliente/token (quién), el recurso y la acción (qué) y la fecha/hora (cuándo), consistente con el RBAC del sistema.</t>
        </is>
      </c>
      <c r="K387" s="2" t="inlineStr"/>
      <c r="L387" s="2" t="inlineStr"/>
      <c r="M387" s="2" t="inlineStr">
        <is>
          <t>P0</t>
        </is>
      </c>
      <c r="N387" s="3" t="inlineStr">
        <is>
          <t>Critical</t>
        </is>
      </c>
      <c r="O387" s="2" t="inlineStr"/>
      <c r="P387" s="2" t="inlineStr"/>
      <c r="Q387" s="2" t="inlineStr">
        <is>
          <t>BR-6</t>
        </is>
      </c>
    </row>
    <row r="388">
      <c r="A388" s="2" t="inlineStr">
        <is>
          <t>EPIC-12</t>
        </is>
      </c>
      <c r="B388" s="2" t="inlineStr">
        <is>
          <t>TC-CEPA-121-001</t>
        </is>
      </c>
      <c r="C388" s="2" t="inlineStr">
        <is>
          <t>Functional</t>
        </is>
      </c>
      <c r="D388" s="2" t="inlineStr">
        <is>
          <t>Búsqueda de pacientes</t>
        </is>
      </c>
      <c r="E388" s="2" t="inlineStr">
        <is>
          <t>Recurso API Pacientes</t>
        </is>
      </c>
      <c r="F388" s="2" t="inlineStr">
        <is>
          <t>Verificar que el recurso Pacientes permite buscar por RUT, nombre o folio, devuelve los datos del paciente o 404 si no existe, y soporta CRUD según permisos.</t>
        </is>
      </c>
      <c r="G388" s="2" t="inlineStr">
        <is>
          <t>API</t>
        </is>
      </c>
      <c r="H388" s="2" t="inlineStr">
        <is>
          <t>API v1 desplegada en QA; JWT válido con permisos CRUD sobre Pacientes; paciente existente con RUT 12.345.678-5, nombre 'María Pérez Soto' y folio 2026-0001.</t>
        </is>
      </c>
      <c r="I388" s="2" t="inlineStr">
        <is>
          <t>1. Enviar GET a /api/v1/pacientes?rut=12.345.678-5 con JWT válido. 2. Enviar GET a /api/v1/pacientes?nombre=María Pérez. 3. Enviar GET a /api/v1/pacientes?folio=2026-0001. 4. Enviar GET a /api/v1/pacientes?folio=9999-9999 (folio inexistente). 5. Enviar POST creando un paciente nuevo, PATCH actualizándolo y DELETE eliminándolo con el mismo JWT.</t>
        </is>
      </c>
      <c r="J388" s="2" t="inlineStr">
        <is>
          <t>Los pasos 1-3 devuelven 200 OK con los datos del mismo paciente; el paso 4 devuelve 404 Not Found con JSON de error; las operaciones CRUD del paso 5 responden 201/200/200-204 respectivamente conforme a los permisos del token.</t>
        </is>
      </c>
      <c r="K388" s="2" t="inlineStr"/>
      <c r="L388" s="2" t="inlineStr"/>
      <c r="M388" s="2" t="inlineStr">
        <is>
          <t>P0</t>
        </is>
      </c>
      <c r="N388" s="3" t="inlineStr">
        <is>
          <t>Critical</t>
        </is>
      </c>
      <c r="O388" s="2" t="inlineStr"/>
      <c r="P388" s="2" t="inlineStr"/>
      <c r="Q388" s="2" t="inlineStr">
        <is>
          <t>S1</t>
        </is>
      </c>
    </row>
    <row r="389">
      <c r="A389" s="2" t="inlineStr">
        <is>
          <t>EPIC-12</t>
        </is>
      </c>
      <c r="B389" s="2" t="inlineStr">
        <is>
          <t>TC-CEPA-121-002</t>
        </is>
      </c>
      <c r="C389" s="2" t="inlineStr">
        <is>
          <t>Functional</t>
        </is>
      </c>
      <c r="D389" s="2" t="inlineStr">
        <is>
          <t>Estado de ingresos</t>
        </is>
      </c>
      <c r="E389" s="2" t="inlineStr">
        <is>
          <t>Recurso API Ingresos</t>
        </is>
      </c>
      <c r="F389" s="2" t="inlineStr">
        <is>
          <t>Verificar que el recurso Ingresos permite consultar y actualizar el estado de un ingreso, persistiendo la actualización con trazabilidad.</t>
        </is>
      </c>
      <c r="G389" s="2" t="inlineStr">
        <is>
          <t>API</t>
        </is>
      </c>
      <c r="H389" s="2" t="inlineStr">
        <is>
          <t>API v1 desplegada en QA; JWT válido con permiso de escritura sobre Ingresos; ingreso existente con folio 2026-0001 en estado 'Activo'.</t>
        </is>
      </c>
      <c r="I389" s="2" t="inlineStr">
        <is>
          <t>1. Enviar GET a /api/v1/ingresos/2026-0001 con JWT válido y registrar el estado devuelto. 2. Enviar PATCH a /api/v1/ingresos/2026-0001 con body {"estado": "Alta"}. 3. Enviar GET nuevamente al mismo ingreso. 4. Consultar el log de auditoría por la operación de actualización.</t>
        </is>
      </c>
      <c r="J389" s="2" t="inlineStr">
        <is>
          <t>El GET inicial refleja el estado actual ('Activo'); el PATCH responde 200 OK; el GET posterior devuelve estado 'Alta' (persistido); el log de auditoría registra la actualización con quién/qué/cuándo.</t>
        </is>
      </c>
      <c r="K389" s="2" t="inlineStr"/>
      <c r="L389" s="2" t="inlineStr"/>
      <c r="M389" s="2" t="inlineStr">
        <is>
          <t>P0</t>
        </is>
      </c>
      <c r="N389" s="3" t="inlineStr">
        <is>
          <t>Critical</t>
        </is>
      </c>
      <c r="O389" s="2" t="inlineStr"/>
      <c r="P389" s="2" t="inlineStr"/>
      <c r="Q389" s="2" t="inlineStr">
        <is>
          <t>S1</t>
        </is>
      </c>
    </row>
    <row r="390">
      <c r="A390" s="2" t="inlineStr">
        <is>
          <t>EPIC-12</t>
        </is>
      </c>
      <c r="B390" s="2" t="inlineStr">
        <is>
          <t>TC-CEPA-121-003</t>
        </is>
      </c>
      <c r="C390" s="2" t="inlineStr">
        <is>
          <t>Integration</t>
        </is>
      </c>
      <c r="D390" s="2" t="inlineStr">
        <is>
          <t>Intercambio bidireccional</t>
        </is>
      </c>
      <c r="E390" s="2" t="inlineStr">
        <is>
          <t>Recurso API Fichas clínicas</t>
        </is>
      </c>
      <c r="F390" s="2" t="inlineStr">
        <is>
          <t>Verificar que el recurso Fichas clínicas procesa ambos sentidos del intercambio con el sistema externo: recepción (push) y entrega (pull) de datos clínicos, confirmando con código HTTP estándar.</t>
        </is>
      </c>
      <c r="G390" s="2" t="inlineStr">
        <is>
          <t>API</t>
        </is>
      </c>
      <c r="H390" s="2" t="inlineStr">
        <is>
          <t>API v1 desplegada en QA; sistema externo de fichas clínicas integrado (o simulado) con JWT válido; paciente existente con folio 2026-0001.</t>
        </is>
      </c>
      <c r="I390" s="2" t="inlineStr">
        <is>
          <t>1. Enviar POST (push) a /api/v1/fichas-clinicas con un payload clínico JSON asociado al folio 2026-0001. 2. Registrar el código HTTP y el identificador devuelto. 3. Enviar GET (pull) a /api/v1/fichas-clinicas?folio=2026-0001. 4. Comparar los datos recuperados con los enviados en el push.</t>
        </is>
      </c>
      <c r="J390" s="2" t="inlineStr">
        <is>
          <t>El push responde 201/200 confirmando la recepción; el pull responde 200 OK y devuelve los mismos datos clínicos enviados, demostrando el intercambio bidireccional (recibir y entregar).</t>
        </is>
      </c>
      <c r="K390" s="2" t="inlineStr"/>
      <c r="L390" s="2" t="inlineStr"/>
      <c r="M390" s="2" t="inlineStr">
        <is>
          <t>P0</t>
        </is>
      </c>
      <c r="N390" s="3" t="inlineStr">
        <is>
          <t>Critical</t>
        </is>
      </c>
      <c r="O390" s="2" t="inlineStr"/>
      <c r="P390" s="2" t="inlineStr"/>
      <c r="Q390" s="2" t="inlineStr">
        <is>
          <t>S1</t>
        </is>
      </c>
    </row>
    <row r="391">
      <c r="A391" s="2" t="inlineStr">
        <is>
          <t>EPIC-12</t>
        </is>
      </c>
      <c r="B391" s="2" t="inlineStr">
        <is>
          <t>TC-CEPA-121-004</t>
        </is>
      </c>
      <c r="C391" s="2" t="inlineStr">
        <is>
          <t>Functional</t>
        </is>
      </c>
      <c r="D391" s="2" t="inlineStr">
        <is>
          <t>Historial y días acumulados</t>
        </is>
      </c>
      <c r="E391" s="2" t="inlineStr">
        <is>
          <t>Recurso API Licencias</t>
        </is>
      </c>
      <c r="F391" s="2" t="inlineStr">
        <is>
          <t>Verificar que el recurso Licencias devuelve el historial de licencias y el total de días acumulados del folio, con el cálculo del módulo de Licencias Médicas (§7.7.3).</t>
        </is>
      </c>
      <c r="G391" s="2" t="inlineStr">
        <is>
          <t>API</t>
        </is>
      </c>
      <c r="H391" s="2" t="inlineStr">
        <is>
          <t>API v1 desplegada en QA; JWT válido; paciente con folio 2026-0001 con 3 licencias registradas (ej. 14, 10 y 7 días = 31 días acumulados).</t>
        </is>
      </c>
      <c r="I391" s="2" t="inlineStr">
        <is>
          <t>1. Enviar GET a /api/v1/licencias?folio=2026-0001 con JWT válido. 2. Contar las licencias devueltas en el historial. 3. Comparar el campo de días acumulados devuelto contra la suma esperada de días de las licencias del folio (31).</t>
        </is>
      </c>
      <c r="J391" s="2" t="inlineStr">
        <is>
          <t>La API responde 200 OK con el historial completo (3 licencias) y el total de días acumulados correcto (31), consistente con el cálculo del módulo de Licencias Médicas.</t>
        </is>
      </c>
      <c r="K391" s="2" t="inlineStr"/>
      <c r="L391" s="2" t="inlineStr"/>
      <c r="M391" s="2" t="inlineStr">
        <is>
          <t>P0</t>
        </is>
      </c>
      <c r="N391" s="3" t="inlineStr">
        <is>
          <t>Critical</t>
        </is>
      </c>
      <c r="O391" s="2" t="inlineStr"/>
      <c r="P391" s="2" t="inlineStr"/>
      <c r="Q391" s="2" t="inlineStr">
        <is>
          <t>S1</t>
        </is>
      </c>
    </row>
    <row r="392">
      <c r="A392" s="2" t="inlineStr">
        <is>
          <t>EPIC-12</t>
        </is>
      </c>
      <c r="B392" s="2" t="inlineStr">
        <is>
          <t>TC-CEPA-121-005</t>
        </is>
      </c>
      <c r="C392" s="2" t="inlineStr">
        <is>
          <t>Integration</t>
        </is>
      </c>
      <c r="D392" s="2" t="inlineStr">
        <is>
          <t>No escritura sobre SALUTEM (D12)</t>
        </is>
      </c>
      <c r="E392" s="2" t="inlineStr">
        <is>
          <t>Conector de integración SAM/SALUTEM</t>
        </is>
      </c>
      <c r="F392" s="2" t="inlineStr">
        <is>
          <t>Verificar que al procesar datos clínicos provenientes de SAM/SALUTEM el CEPA solo recibe/consulta y persiste en su dominio, sin ejecutar ninguna operación de escritura sobre SALUTEM.</t>
        </is>
      </c>
      <c r="G392" s="2" t="inlineStr">
        <is>
          <t>API</t>
        </is>
      </c>
      <c r="H392" s="2" t="inlineStr">
        <is>
          <t>Integración SALUTEM activa en QA (o mock instrumentado que registre todas las llamadas recibidas); dataset de datos clínicos con origen SALUTEM disponible.</t>
        </is>
      </c>
      <c r="I392" s="2" t="inlineStr">
        <is>
          <t>1. Activar el registro/captura de tráfico saliente del CEPA hacia SALUTEM (proxy o mock instrumentado). 2. Enviar al CEPA un lote de datos clínicos con origen SALUTEM para el folio 2026-0001. 3. Consultar en el dominio CEPA que los datos quedaron persistidos localmente. 4. Revisar el registro del mock/proxy de SALUTEM buscando operaciones de escritura (POST/PUT/PATCH/DELETE) originadas por el CEPA.</t>
        </is>
      </c>
      <c r="J392" s="2" t="inlineStr">
        <is>
          <t>Los datos quedan persistidos en el dominio CEPA; el registro de tráfico hacia SALUTEM no contiene ninguna operación de escritura originada por el CEPA (solo lecturas/consultas, si las hay), cumpliendo D12.</t>
        </is>
      </c>
      <c r="K392" s="2" t="inlineStr"/>
      <c r="L392" s="2" t="inlineStr"/>
      <c r="M392" s="2" t="inlineStr">
        <is>
          <t>P0</t>
        </is>
      </c>
      <c r="N392" s="3" t="inlineStr">
        <is>
          <t>Critical</t>
        </is>
      </c>
      <c r="O392" s="2" t="inlineStr"/>
      <c r="P392" s="2" t="inlineStr"/>
      <c r="Q392" s="2" t="inlineStr">
        <is>
          <t>S2</t>
        </is>
      </c>
    </row>
    <row r="393">
      <c r="A393" s="2" t="inlineStr">
        <is>
          <t>EPIC-12</t>
        </is>
      </c>
      <c r="B393" s="2" t="inlineStr">
        <is>
          <t>TC-CEPA-121-006</t>
        </is>
      </c>
      <c r="C393" s="2" t="inlineStr">
        <is>
          <t>Business Rules</t>
        </is>
      </c>
      <c r="D393" s="2" t="inlineStr">
        <is>
          <t>Validación dígito verificador RUT</t>
        </is>
      </c>
      <c r="E393" s="2" t="inlineStr">
        <is>
          <t>Validador de RUT del recurso Pacientes</t>
        </is>
      </c>
      <c r="F393" s="2" t="inlineStr">
        <is>
          <t>Verificar que la búsqueda de pacientes por RUT valida el dígito verificador y rechaza RUTs con DV incorrecto.</t>
        </is>
      </c>
      <c r="G393" s="2" t="inlineStr">
        <is>
          <t>API</t>
        </is>
      </c>
      <c r="H393" s="2" t="inlineStr">
        <is>
          <t>API v1 desplegada en QA; JWT válido; paciente existente con RUT 12.345.678-5 (DV correcto).</t>
        </is>
      </c>
      <c r="I393" s="2" t="inlineStr">
        <is>
          <t>1. Enviar GET a /api/v1/pacientes?rut=12.345.678-5 (DV correcto) con JWT válido. 2. Enviar GET a /api/v1/pacientes?rut=12.345.678-9 (DV incorrecto). 3. Enviar GET a /api/v1/pacientes?rut=12345678K (formato/DV inválido). 4. Inspeccionar códigos HTTP y cuerpos de error de los pasos 2 y 3.</t>
        </is>
      </c>
      <c r="J393" s="2" t="inlineStr">
        <is>
          <t>El paso 1 responde 200 OK con el paciente; los pasos 2 y 3 responden 422 (o 400) con JSON de error uniforme indicando RUT inválido por dígito verificador, sin consultar el recurso.</t>
        </is>
      </c>
      <c r="K393" s="2" t="inlineStr"/>
      <c r="L393" s="2" t="inlineStr"/>
      <c r="M393" s="2" t="inlineStr">
        <is>
          <t>P0</t>
        </is>
      </c>
      <c r="N393" s="4" t="inlineStr">
        <is>
          <t>Major</t>
        </is>
      </c>
      <c r="O393" s="2" t="inlineStr"/>
      <c r="P393" s="2" t="inlineStr"/>
      <c r="Q393" s="2" t="inlineStr">
        <is>
          <t>BR-3</t>
        </is>
      </c>
    </row>
    <row r="394">
      <c r="A394" s="2" t="inlineStr">
        <is>
          <t>EPIC-12</t>
        </is>
      </c>
      <c r="B394" s="2" t="inlineStr">
        <is>
          <t>TC-CEPA-121-007</t>
        </is>
      </c>
      <c r="C394" s="2" t="inlineStr">
        <is>
          <t>Business Rules</t>
        </is>
      </c>
      <c r="D394" s="2" t="inlineStr">
        <is>
          <t>Alcance de recursos §8.2</t>
        </is>
      </c>
      <c r="E394" s="2" t="inlineStr">
        <is>
          <t>Enrutador de recursos de la API v1</t>
        </is>
      </c>
      <c r="F394" s="2" t="inlineStr">
        <is>
          <t>Verificar que la API v1 P0 solo expone los recursos definidos en §8.2 (Pacientes, Ingresos, Fichas clínicas, Licencias) y no publica endpoints adicionales ni los recursos P1/P2 (Fármacos, Controles, Reportes).</t>
        </is>
      </c>
      <c r="G394" s="2" t="inlineStr">
        <is>
          <t>API</t>
        </is>
      </c>
      <c r="H394" s="2" t="inlineStr">
        <is>
          <t>API v1 desplegada en QA; documento OpenAPI accesible; JWT válido.</t>
        </is>
      </c>
      <c r="I394" s="2" t="inlineStr">
        <is>
          <t>1. Descargar el documento OpenAPI de la v1. 2. Listar todos los paths publicados. 3. Verificar que cada path corresponde a Pacientes, Ingresos, Fichas clínicas, Licencias o a rutas de salud/documentación. 4. Enviar GET a /api/v1/farmacos, /api/v1/controles y /api/v1/reportes con JWT válido.</t>
        </is>
      </c>
      <c r="J394" s="2" t="inlineStr">
        <is>
          <t>El OpenAPI solo publica los recursos del alcance P0 de §8.2; las solicitudes a Fármacos, Controles y Reportes responden 404 Not Found (no existen en v1 P0).</t>
        </is>
      </c>
      <c r="K394" s="2" t="inlineStr"/>
      <c r="L394" s="2" t="inlineStr"/>
      <c r="M394" s="2" t="inlineStr">
        <is>
          <t>P0</t>
        </is>
      </c>
      <c r="N394" s="5" t="inlineStr">
        <is>
          <t>Medium</t>
        </is>
      </c>
      <c r="O394" s="2" t="inlineStr"/>
      <c r="P394" s="2" t="inlineStr"/>
      <c r="Q394" s="2" t="inlineStr">
        <is>
          <t>BR-6</t>
        </is>
      </c>
    </row>
    <row r="395">
      <c r="A395" s="2" t="inlineStr">
        <is>
          <t>EPIC-12</t>
        </is>
      </c>
      <c r="B395" s="2" t="inlineStr">
        <is>
          <t>TC-CEPA-121-008</t>
        </is>
      </c>
      <c r="C395" s="2" t="inlineStr">
        <is>
          <t>Business Rules</t>
        </is>
      </c>
      <c r="D395" s="2" t="inlineStr">
        <is>
          <t>Auditoría de escritura/recepción</t>
        </is>
      </c>
      <c r="E395" s="2" t="inlineStr">
        <is>
          <t>Log de auditoría de integraciones</t>
        </is>
      </c>
      <c r="F395" s="2" t="inlineStr">
        <is>
          <t>Verificar que toda operación de escritura/recepción sobre los recursos clínicos queda registrada en el log de auditoría, consistente con OI1 y RBAC.</t>
        </is>
      </c>
      <c r="G395" s="2" t="inlineStr">
        <is>
          <t>API</t>
        </is>
      </c>
      <c r="H395" s="2" t="inlineStr">
        <is>
          <t>API v1 desplegada en QA; JWT válido con permisos de escritura; acceso de lectura al log de auditoría.</t>
        </is>
      </c>
      <c r="I395" s="2" t="inlineStr">
        <is>
          <t>1. Enviar POST a /api/v1/pacientes creando un paciente (RUT 12.345.678-5). 2. Enviar PATCH a /api/v1/ingresos/2026-0001 cambiando el estado. 3. Enviar POST (push) a /api/v1/fichas-clinicas con un payload clínico. 4. Consultar el log de auditoría filtrando por el token del cliente y la ventana de tiempo de las tres operaciones.</t>
        </is>
      </c>
      <c r="J395" s="2" t="inlineStr">
        <is>
          <t>El log de auditoría contiene una entrada por cada una de las tres operaciones de escritura/recepción, con identidad del cliente, recurso/acción y fecha/hora, consistente con el RBAC.</t>
        </is>
      </c>
      <c r="K395" s="2" t="inlineStr"/>
      <c r="L395" s="2" t="inlineStr"/>
      <c r="M395" s="2" t="inlineStr">
        <is>
          <t>P0</t>
        </is>
      </c>
      <c r="N395" s="3" t="inlineStr">
        <is>
          <t>Critical</t>
        </is>
      </c>
      <c r="O395" s="2" t="inlineStr"/>
      <c r="P395" s="2" t="inlineStr"/>
      <c r="Q395" s="2" t="inlineStr">
        <is>
          <t>BR-7</t>
        </is>
      </c>
    </row>
    <row r="396">
      <c r="A396" s="2" t="inlineStr">
        <is>
          <t>EPIC-12</t>
        </is>
      </c>
      <c r="B396" s="2" t="inlineStr">
        <is>
          <t>TC-CEPA-121-009</t>
        </is>
      </c>
      <c r="C396" s="2" t="inlineStr">
        <is>
          <t>Security</t>
        </is>
      </c>
      <c r="D396" s="2" t="inlineStr">
        <is>
          <t>RBAC</t>
        </is>
      </c>
      <c r="E396" s="2" t="inlineStr">
        <is>
          <t>Autorización RBAC de la API</t>
        </is>
      </c>
      <c r="F396" s="2" t="inlineStr">
        <is>
          <t>Verificar que un token sin permiso de escritura sobre el recurso Ingresos recibe 403 Forbidden al intentar actualizar el estado, sin que se aplique ningún cambio.</t>
        </is>
      </c>
      <c r="G396" s="2" t="inlineStr">
        <is>
          <t>API</t>
        </is>
      </c>
      <c r="H396" s="2" t="inlineStr">
        <is>
          <t>API v1 desplegada en QA; JWT válido de un rol sin permiso de escritura sobre Ingresos (ej. Auditor, solo lectura); ingreso existente folio 2026-0001 en estado 'Activo'.</t>
        </is>
      </c>
      <c r="I396" s="2" t="inlineStr">
        <is>
          <t>1. Enviar PATCH a /api/v1/ingresos/2026-0001 con body {"estado": "Alta"} usando el JWT del rol sin escritura. 2. Inspeccionar el código HTTP y el cuerpo de la respuesta. 3. Enviar GET al mismo ingreso con un JWT con permiso de lectura y verificar el estado.</t>
        </is>
      </c>
      <c r="J396" s="2" t="inlineStr">
        <is>
          <t>El PATCH responde 403 Forbidden con JSON de error; el ingreso conserva su estado 'Activo' sin ningún cambio persistido.</t>
        </is>
      </c>
      <c r="K396" s="2" t="inlineStr"/>
      <c r="L396" s="2" t="inlineStr"/>
      <c r="M396" s="2" t="inlineStr">
        <is>
          <t>P0</t>
        </is>
      </c>
      <c r="N396" s="3" t="inlineStr">
        <is>
          <t>Critical</t>
        </is>
      </c>
      <c r="O396" s="2" t="inlineStr"/>
      <c r="P396" s="2" t="inlineStr"/>
      <c r="Q396" s="2" t="inlineStr">
        <is>
          <t>TC-legacy</t>
        </is>
      </c>
    </row>
    <row r="397">
      <c r="A397" s="2" t="inlineStr">
        <is>
          <t>EPIC-12</t>
        </is>
      </c>
      <c r="B397" s="2" t="inlineStr">
        <is>
          <t>TC-CEPA-122-001</t>
        </is>
      </c>
      <c r="C397" s="2" t="inlineStr">
        <is>
          <t>Integration</t>
        </is>
      </c>
      <c r="D397" s="2" t="inlineStr">
        <is>
          <t>Recepción de licencias IMED</t>
        </is>
      </c>
      <c r="E397" s="2" t="inlineStr">
        <is>
          <t>Receptor de licencias electrónicas IMED</t>
        </is>
      </c>
      <c r="F397" s="2" t="inlineStr">
        <is>
          <t>Verificar que el CEPA recibe y persiste una licencia médica electrónica enviada por un cliente IMED autenticado, vinculada al paciente/folio, confirmando con código HTTP estándar.</t>
        </is>
      </c>
      <c r="G397" s="2" t="inlineStr">
        <is>
          <t>API</t>
        </is>
      </c>
      <c r="H397" s="2" t="inlineStr">
        <is>
          <t>Endpoints IMED desplegados en QA; cliente IMED con JWT válido y scope IMED; paciente existente con RUT 12.345.678-5 y folio 2026-0001.</t>
        </is>
      </c>
      <c r="I397" s="2" t="inlineStr">
        <is>
          <t>1. Enviar POST a /api/v1/imed/licencias con payload IMED de licencia médica electrónica (RUT 12.345.678-5, folio 2026-0001, 14 días, fecha inicio 01-06-2026) usando el JWT del cliente IMED. 2. Registrar el código HTTP y el identificador devuelto. 3. Consultar el recurso Licencias del folio 2026-0001 y verificar que la licencia figura en el historial vinculada al paciente/folio.</t>
        </is>
      </c>
      <c r="J397" s="2" t="inlineStr">
        <is>
          <t>La API confirma con 201/200; la licencia queda persistida en el CEPA vinculada al paciente/folio 2026-0001 y visible en el historial de licencias.</t>
        </is>
      </c>
      <c r="K397" s="2" t="inlineStr"/>
      <c r="L397" s="2" t="inlineStr"/>
      <c r="M397" s="2" t="inlineStr">
        <is>
          <t>P2</t>
        </is>
      </c>
      <c r="N397" s="4" t="inlineStr">
        <is>
          <t>Major</t>
        </is>
      </c>
      <c r="O397" s="2" t="inlineStr"/>
      <c r="P397" s="2" t="inlineStr"/>
      <c r="Q397" s="2" t="inlineStr">
        <is>
          <t>S1</t>
        </is>
      </c>
    </row>
    <row r="398">
      <c r="A398" s="2" t="inlineStr">
        <is>
          <t>EPIC-12</t>
        </is>
      </c>
      <c r="B398" s="2" t="inlineStr">
        <is>
          <t>TC-CEPA-122-002</t>
        </is>
      </c>
      <c r="C398" s="2" t="inlineStr">
        <is>
          <t>Integration</t>
        </is>
      </c>
      <c r="D398" s="2" t="inlineStr">
        <is>
          <t>Recepción de recetas IMED</t>
        </is>
      </c>
      <c r="E398" s="2" t="inlineStr">
        <is>
          <t>Receptor de recetas electrónicas IMED</t>
        </is>
      </c>
      <c r="F398" s="2" t="inlineStr">
        <is>
          <t>Verificar que el CEPA recibe y persiste una receta electrónica enviada por un cliente IMED autenticado, vinculada al folio del paciente.</t>
        </is>
      </c>
      <c r="G398" s="2" t="inlineStr">
        <is>
          <t>API</t>
        </is>
      </c>
      <c r="H398" s="2" t="inlineStr">
        <is>
          <t>Endpoints IMED desplegados en QA; cliente IMED con JWT válido y scope IMED; paciente existente con folio 2026-0001.</t>
        </is>
      </c>
      <c r="I398" s="2" t="inlineStr">
        <is>
          <t>1. Enviar POST a /api/v1/imed/recetas con payload IMED de receta electrónica (folio 2026-0001, medicamento, dosis, fecha de emisión 15-06-2026) usando el JWT del cliente IMED. 2. Registrar el código HTTP devuelto. 3. Consultar en el CEPA las recetas del folio 2026-0001 y verificar la vinculación.</t>
        </is>
      </c>
      <c r="J398" s="2" t="inlineStr">
        <is>
          <t>La API confirma con 201/200; la receta queda persistida en el CEPA vinculada al folio 2026-0001 del paciente.</t>
        </is>
      </c>
      <c r="K398" s="2" t="inlineStr"/>
      <c r="L398" s="2" t="inlineStr"/>
      <c r="M398" s="2" t="inlineStr">
        <is>
          <t>P2</t>
        </is>
      </c>
      <c r="N398" s="4" t="inlineStr">
        <is>
          <t>Major</t>
        </is>
      </c>
      <c r="O398" s="2" t="inlineStr"/>
      <c r="P398" s="2" t="inlineStr"/>
      <c r="Q398" s="2" t="inlineStr">
        <is>
          <t>S1</t>
        </is>
      </c>
    </row>
    <row r="399">
      <c r="A399" s="2" t="inlineStr">
        <is>
          <t>EPIC-12</t>
        </is>
      </c>
      <c r="B399" s="2" t="inlineStr">
        <is>
          <t>TC-CEPA-122-003</t>
        </is>
      </c>
      <c r="C399" s="2" t="inlineStr">
        <is>
          <t>Integration</t>
        </is>
      </c>
      <c r="D399" s="2" t="inlineStr">
        <is>
          <t>Diferibilidad sin rediseño</t>
        </is>
      </c>
      <c r="E399" s="2" t="inlineStr">
        <is>
          <t>Arquitectura del contrato API v1</t>
        </is>
      </c>
      <c r="F399" s="2" t="inlineStr">
        <is>
          <t>Verificar que la integración IMED puede diferirse y habilitarse a futuro sin rediseño del contrato base v1 (feature toggle / extensión del contrato).</t>
        </is>
      </c>
      <c r="G399" s="2" t="inlineStr">
        <is>
          <t>API</t>
        </is>
      </c>
      <c r="H399" s="2" t="inlineStr">
        <is>
          <t>API v1 desplegada en QA con la integración IMED deshabilitada/diferida; documento OpenAPI v1 base disponible; suite de contrato v1 en verde.</t>
        </is>
      </c>
      <c r="I399" s="2" t="inlineStr">
        <is>
          <t>1. Con IMED deshabilitado, ejecutar la suite de contrato de la API v1 base. 2. Habilitar la integración IMED (configuración/feature toggle) sin modificar los endpoints existentes. 3. Reejecutar la suite de contrato v1 base. 4. Comparar el documento OpenAPI antes y después de habilitar IMED.</t>
        </is>
      </c>
      <c r="J399" s="2" t="inlineStr">
        <is>
          <t>La suite de contrato v1 pasa en ambos estados; habilitar IMED solo agrega endpoints nuevos bajo el contrato v1 sin modificar ni romper los existentes (sin rediseño del contrato base).</t>
        </is>
      </c>
      <c r="K399" s="2" t="inlineStr"/>
      <c r="L399" s="2" t="inlineStr"/>
      <c r="M399" s="2" t="inlineStr">
        <is>
          <t>P2</t>
        </is>
      </c>
      <c r="N399" s="5" t="inlineStr">
        <is>
          <t>Medium</t>
        </is>
      </c>
      <c r="O399" s="2" t="inlineStr"/>
      <c r="P399" s="2" t="inlineStr"/>
      <c r="Q399" s="2" t="inlineStr">
        <is>
          <t>S2</t>
        </is>
      </c>
    </row>
    <row r="400">
      <c r="A400" s="2" t="inlineStr">
        <is>
          <t>EPIC-12</t>
        </is>
      </c>
      <c r="B400" s="2" t="inlineStr">
        <is>
          <t>TC-CEPA-122-004</t>
        </is>
      </c>
      <c r="C400" s="2" t="inlineStr">
        <is>
          <t>Business Rules</t>
        </is>
      </c>
      <c r="D400" s="2" t="inlineStr">
        <is>
          <t>Auditoría de recepción IMED</t>
        </is>
      </c>
      <c r="E400" s="2" t="inlineStr">
        <is>
          <t>Log de auditoría de integraciones</t>
        </is>
      </c>
      <c r="F400" s="2" t="inlineStr">
        <is>
          <t>Verificar que los datos recibidos desde IMED quedan vinculados al folio del paciente y registrados en el log de auditoría.</t>
        </is>
      </c>
      <c r="G400" s="2" t="inlineStr">
        <is>
          <t>API</t>
        </is>
      </c>
      <c r="H400" s="2" t="inlineStr">
        <is>
          <t>Endpoints IMED desplegados en QA; cliente IMED con JWT válido; paciente con folio 2026-0001; acceso de lectura al log de auditoría.</t>
        </is>
      </c>
      <c r="I400" s="2" t="inlineStr">
        <is>
          <t>1. Enviar POST a /api/v1/imed/licencias con una licencia para el folio 2026-0001. 2. Enviar POST a /api/v1/imed/recetas con una receta para el mismo folio. 3. Consultar el log de auditoría filtrando por el cliente IMED y la ventana de tiempo. 4. Verificar la vinculación al folio en cada entrada.</t>
        </is>
      </c>
      <c r="J400" s="2" t="inlineStr">
        <is>
          <t>El log de auditoría registra ambas recepciones con identidad del cliente IMED, tipo de dato recibido, folio vinculado (2026-0001) y fecha/hora.</t>
        </is>
      </c>
      <c r="K400" s="2" t="inlineStr"/>
      <c r="L400" s="2" t="inlineStr"/>
      <c r="M400" s="2" t="inlineStr">
        <is>
          <t>P2</t>
        </is>
      </c>
      <c r="N400" s="4" t="inlineStr">
        <is>
          <t>Major</t>
        </is>
      </c>
      <c r="O400" s="2" t="inlineStr"/>
      <c r="P400" s="2" t="inlineStr"/>
      <c r="Q400" s="2" t="inlineStr">
        <is>
          <t>BR-3</t>
        </is>
      </c>
    </row>
    <row r="401">
      <c r="A401" s="2" t="inlineStr">
        <is>
          <t>EPIC-12</t>
        </is>
      </c>
      <c r="B401" s="2" t="inlineStr">
        <is>
          <t>TC-CEPA-122-005</t>
        </is>
      </c>
      <c r="C401" s="2" t="inlineStr">
        <is>
          <t>Business Rules</t>
        </is>
      </c>
      <c r="D401" s="2" t="inlineStr">
        <is>
          <t>Reutilización principios §8.1</t>
        </is>
      </c>
      <c r="E401" s="2" t="inlineStr">
        <is>
          <t>Generador de especificación OpenAPI/Swagger</t>
        </is>
      </c>
      <c r="F401" s="2" t="inlineStr">
        <is>
          <t>Verificar que los endpoints IMED reutilizan los principios de §8.1 (versionado /api/v1, JWT, JSON, rate limiting) y figuran documentados en la spec OpenAPI del contrato v1, sin contrato paralelo.</t>
        </is>
      </c>
      <c r="G401" s="2" t="inlineStr">
        <is>
          <t>API</t>
        </is>
      </c>
      <c r="H401" s="2" t="inlineStr">
        <is>
          <t>Endpoints IMED publicados en QA; documento OpenAPI v1 accesible; rate limiting configurado.</t>
        </is>
      </c>
      <c r="I401" s="2" t="inlineStr">
        <is>
          <t>1. Descargar el documento OpenAPI de la v1. 2. Verificar que los endpoints IMED (licencias y recetas) figuran bajo el prefijo /api/v1 con esquemas y requisito de autenticación JWT. 3. Enviar una solicitud IMED sin token y verificar el rechazo. 4. Enviar solicitudes IMED sobre la cuota de rate limiting y verificar la respuesta.</t>
        </is>
      </c>
      <c r="J401" s="2" t="inlineStr">
        <is>
          <t>Los endpoints IMED están documentados en la misma spec OpenAPI del contrato v1 (sin contrato paralelo), bajo /api/v1, exigen JWT (401 sin token) y aplican rate limiting (429 al exceder la cuota).</t>
        </is>
      </c>
      <c r="K401" s="2" t="inlineStr"/>
      <c r="L401" s="2" t="inlineStr"/>
      <c r="M401" s="2" t="inlineStr">
        <is>
          <t>P2</t>
        </is>
      </c>
      <c r="N401" s="5" t="inlineStr">
        <is>
          <t>Medium</t>
        </is>
      </c>
      <c r="O401" s="2" t="inlineStr"/>
      <c r="P401" s="2" t="inlineStr"/>
      <c r="Q401" s="2" t="inlineStr">
        <is>
          <t>BR-4</t>
        </is>
      </c>
    </row>
    <row r="402">
      <c r="A402" s="2" t="inlineStr">
        <is>
          <t>EPIC-12</t>
        </is>
      </c>
      <c r="B402" s="2" t="inlineStr">
        <is>
          <t>TC-CEPA-122-006</t>
        </is>
      </c>
      <c r="C402" s="2" t="inlineStr">
        <is>
          <t>Functional</t>
        </is>
      </c>
      <c r="D402" s="2" t="inlineStr">
        <is>
          <t>Validación de payload IMED</t>
        </is>
      </c>
      <c r="E402" s="2" t="inlineStr">
        <is>
          <t>Validador de payloads IMED</t>
        </is>
      </c>
      <c r="F402" s="2" t="inlineStr">
        <is>
          <t>Verificar que un payload IMED mal formado (sin campos obligatorios) es rechazado con 422 sin persistir ningún dato.</t>
        </is>
      </c>
      <c r="G402" s="2" t="inlineStr">
        <is>
          <t>API</t>
        </is>
      </c>
      <c r="H402" s="2" t="inlineStr">
        <is>
          <t>Endpoints IMED desplegados en QA; cliente IMED con JWT válido; conteo previo de licencias del folio 2026-0001 conocido.</t>
        </is>
      </c>
      <c r="I402" s="2" t="inlineStr">
        <is>
          <t>1. Enviar POST a /api/v1/imed/licencias con un JSON al que le faltan campos obligatorios (ej. sin RUT ni días de licencia). 2. Inspeccionar el código HTTP y el cuerpo de error. 3. Consultar las licencias del folio 2026-0001 y comparar el conteo con el previo.</t>
        </is>
      </c>
      <c r="J402" s="2" t="inlineStr">
        <is>
          <t>La API responde 422 Unprocessable Entity con JSON de error uniforme detallando los campos faltantes; no se persiste ningún registro (el conteo de licencias no cambia).</t>
        </is>
      </c>
      <c r="K402" s="2" t="inlineStr"/>
      <c r="L402" s="2" t="inlineStr"/>
      <c r="M402" s="2" t="inlineStr">
        <is>
          <t>P2</t>
        </is>
      </c>
      <c r="N402" s="4" t="inlineStr">
        <is>
          <t>Major</t>
        </is>
      </c>
      <c r="O402" s="2" t="inlineStr"/>
      <c r="P402" s="2" t="inlineStr"/>
      <c r="Q402" s="2" t="inlineStr">
        <is>
          <t>TC-legacy</t>
        </is>
      </c>
    </row>
    <row r="403">
      <c r="A403" s="2" t="inlineStr">
        <is>
          <t>EPIC-12</t>
        </is>
      </c>
      <c r="B403" s="2" t="inlineStr">
        <is>
          <t>TC-CEPA-122-007</t>
        </is>
      </c>
      <c r="C403" s="2" t="inlineStr">
        <is>
          <t>Security</t>
        </is>
      </c>
      <c r="D403" s="2" t="inlineStr">
        <is>
          <t>Scope IMED</t>
        </is>
      </c>
      <c r="E403" s="2" t="inlineStr">
        <is>
          <t>Autorización RBAC de la API</t>
        </is>
      </c>
      <c r="F403" s="2" t="inlineStr">
        <is>
          <t>Verificar que un token sin scope IMED recibe 403 Forbidden al intentar enviar una receta electrónica a los endpoints IMED.</t>
        </is>
      </c>
      <c r="G403" s="2" t="inlineStr">
        <is>
          <t>API</t>
        </is>
      </c>
      <c r="H403" s="2" t="inlineStr">
        <is>
          <t>Endpoints IMED desplegados en QA; JWT válido de un cliente sin scope/permiso IMED; payload de receta electrónica válido para el folio 2026-0001.</t>
        </is>
      </c>
      <c r="I403" s="2" t="inlineStr">
        <is>
          <t>1. Enviar POST a /api/v1/imed/recetas con el payload de receta usando el JWT sin scope IMED. 2. Inspeccionar el código HTTP y el cuerpo de la respuesta. 3. Consultar en el CEPA las recetas del folio 2026-0001 y verificar que no se agregó ninguna.</t>
        </is>
      </c>
      <c r="J403" s="2" t="inlineStr">
        <is>
          <t>La API responde 403 Forbidden con JSON de error; ninguna receta queda persistida.</t>
        </is>
      </c>
      <c r="K403" s="2" t="inlineStr"/>
      <c r="L403" s="2" t="inlineStr"/>
      <c r="M403" s="2" t="inlineStr">
        <is>
          <t>P2</t>
        </is>
      </c>
      <c r="N403" s="4" t="inlineStr">
        <is>
          <t>Major</t>
        </is>
      </c>
      <c r="O403" s="2" t="inlineStr"/>
      <c r="P403" s="2" t="inlineStr"/>
      <c r="Q403" s="2" t="inlineStr">
        <is>
          <t>TC-legacy</t>
        </is>
      </c>
    </row>
  </sheetData>
  <autoFilter ref="A1:Q403"/>
  <dataValidations count="4">
    <dataValidation sqref="C2:C403" showDropDown="0" showInputMessage="0" showErrorMessage="0" allowBlank="1" type="list">
      <formula1>"Functional,Business Rules,UI/UX,Integration,Data Integrity,Security,Performance,Regression,Smoke,UAT"</formula1>
    </dataValidation>
    <dataValidation sqref="G2:G403" showDropDown="0" showInputMessage="0" showErrorMessage="0" allowBlank="1" type="list">
      <formula1>"Web,API,Web/API,Email"</formula1>
    </dataValidation>
    <dataValidation sqref="L2:L403" showDropDown="0" showInputMessage="0" showErrorMessage="0" allowBlank="1" type="list">
      <formula1>"Pass,Fail,Blocked,Skipped,In Progress"</formula1>
    </dataValidation>
    <dataValidation sqref="N2:N403" showDropDown="0" showInputMessage="0" showErrorMessage="0" allowBlank="1" type="list">
      <formula1>"Critical,Major,Medium,Low"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3"/>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10" customWidth="1" min="3" max="3"/>
    <col width="60" customWidth="1" min="4" max="4"/>
    <col width="17" customWidth="1" min="5" max="5"/>
    <col width="22" customWidth="1" min="6" max="6"/>
  </cols>
  <sheetData>
    <row r="1">
      <c r="A1" s="1" t="inlineStr">
        <is>
          <t>US ID</t>
        </is>
      </c>
      <c r="B1" s="1" t="inlineStr">
        <is>
          <t>Source</t>
        </is>
      </c>
      <c r="C1" s="1" t="inlineStr">
        <is>
          <t>Source ID</t>
        </is>
      </c>
      <c r="D1" s="1" t="inlineStr">
        <is>
          <t>Source Description</t>
        </is>
      </c>
      <c r="E1" s="1" t="inlineStr">
        <is>
          <t>TC ID</t>
        </is>
      </c>
      <c r="F1" s="1" t="inlineStr">
        <is>
          <t>Business Rule(s)</t>
        </is>
      </c>
    </row>
    <row r="2">
      <c r="A2" s="2" t="inlineStr">
        <is>
          <t>CEPA-001</t>
        </is>
      </c>
      <c r="B2" s="2" t="inlineStr">
        <is>
          <t>AC</t>
        </is>
      </c>
      <c r="C2" s="2" t="inlineStr">
        <is>
          <t>CA-1</t>
        </is>
      </c>
      <c r="D2" s="2" t="inlineStr">
        <is>
          <t>Dado usuario activo en login, cuando ingresa credenciales válidas, entonces se emite JWT firmado sobre SSL/TLS y se redirige al panel de su rol</t>
        </is>
      </c>
      <c r="E2" s="2" t="inlineStr">
        <is>
          <t>TC-CEPA-001-001</t>
        </is>
      </c>
      <c r="F2" s="2" t="inlineStr">
        <is>
          <t>RN-1, RN-2</t>
        </is>
      </c>
    </row>
    <row r="3">
      <c r="A3" s="2" t="inlineStr">
        <is>
          <t>CEPA-001</t>
        </is>
      </c>
      <c r="B3" s="2" t="inlineStr">
        <is>
          <t>AC</t>
        </is>
      </c>
      <c r="C3" s="2" t="inlineStr">
        <is>
          <t>CA-2</t>
        </is>
      </c>
      <c r="D3" s="2" t="inlineStr">
        <is>
          <t>Dado JWT expirado con refresh vigente, cuando el usuario opera, entonces la sesión se renueva sin pedir credenciales</t>
        </is>
      </c>
      <c r="E3" s="2" t="inlineStr">
        <is>
          <t>TC-CEPA-001-002</t>
        </is>
      </c>
      <c r="F3" s="2" t="inlineStr">
        <is>
          <t>RN-1</t>
        </is>
      </c>
    </row>
    <row r="4">
      <c r="A4" s="2" t="inlineStr">
        <is>
          <t>CEPA-001</t>
        </is>
      </c>
      <c r="B4" s="2" t="inlineStr">
        <is>
          <t>AC</t>
        </is>
      </c>
      <c r="C4" s="2" t="inlineStr">
        <is>
          <t>CA-3</t>
        </is>
      </c>
      <c r="D4" s="2" t="inlineStr">
        <is>
          <t>Dado credenciales incorrectas reiteradas, cuando alcanza N intentos fallidos, entonces la cuenta se bloquea temporalmente y se registra en auditoría</t>
        </is>
      </c>
      <c r="E4" s="2" t="inlineStr">
        <is>
          <t>TC-CEPA-001-003</t>
        </is>
      </c>
      <c r="F4" s="2" t="inlineStr">
        <is>
          <t>RN-3, RN-5</t>
        </is>
      </c>
    </row>
    <row r="5">
      <c r="A5" s="2" t="inlineStr">
        <is>
          <t>CEPA-001</t>
        </is>
      </c>
      <c r="B5" s="2" t="inlineStr">
        <is>
          <t>AC</t>
        </is>
      </c>
      <c r="C5" s="2" t="inlineStr">
        <is>
          <t>CA-4</t>
        </is>
      </c>
      <c r="D5" s="2" t="inlineStr">
        <is>
          <t>Dado cliente sin cifrado o con token inválido/expirado, cuando envía la petición, entonces se rechaza con HTTP no autorizado sin exponer datos</t>
        </is>
      </c>
      <c r="E5" s="2" t="inlineStr">
        <is>
          <t>TC-CEPA-001-004</t>
        </is>
      </c>
      <c r="F5" s="2" t="inlineStr">
        <is>
          <t>RN-2</t>
        </is>
      </c>
    </row>
    <row r="6">
      <c r="A6" s="2" t="inlineStr">
        <is>
          <t>CEPA-001</t>
        </is>
      </c>
      <c r="B6" s="2" t="inlineStr">
        <is>
          <t>BR</t>
        </is>
      </c>
      <c r="C6" s="2" t="inlineStr">
        <is>
          <t>RN-3</t>
        </is>
      </c>
      <c r="D6" s="2" t="inlineStr">
        <is>
          <t>Tras N intentos fallidos la cuenta se bloquea temporalmente; el desbloqueo es por tiempo o por intervención de Coordinación</t>
        </is>
      </c>
      <c r="E6" s="2" t="inlineStr">
        <is>
          <t>TC-CEPA-001-005</t>
        </is>
      </c>
      <c r="F6" s="2" t="inlineStr">
        <is>
          <t>RN-3</t>
        </is>
      </c>
    </row>
    <row r="7">
      <c r="A7" s="2" t="inlineStr">
        <is>
          <t>CEPA-001</t>
        </is>
      </c>
      <c r="B7" s="2" t="inlineStr">
        <is>
          <t>BR</t>
        </is>
      </c>
      <c r="C7" s="2" t="inlineStr">
        <is>
          <t>RN-4</t>
        </is>
      </c>
      <c r="D7" s="2" t="inlineStr">
        <is>
          <t>Los datos sensibles de salud mental nunca se incluyen en el payload del JWT; solo identidad de usuario y rol</t>
        </is>
      </c>
      <c r="E7" s="2" t="inlineStr">
        <is>
          <t>TC-CEPA-001-006</t>
        </is>
      </c>
      <c r="F7" s="2" t="inlineStr">
        <is>
          <t>RN-4</t>
        </is>
      </c>
    </row>
    <row r="8">
      <c r="A8" s="2" t="inlineStr">
        <is>
          <t>CEPA-001</t>
        </is>
      </c>
      <c r="B8" s="2" t="inlineStr">
        <is>
          <t>BR</t>
        </is>
      </c>
      <c r="C8" s="2" t="inlineStr">
        <is>
          <t>RN-5</t>
        </is>
      </c>
      <c r="D8" s="2" t="inlineStr">
        <is>
          <t>Todo intento de inicio de sesión (éxito, fallo, bloqueo) genera traza en el log de auditoría</t>
        </is>
      </c>
      <c r="E8" s="2" t="inlineStr">
        <is>
          <t>TC-CEPA-001-007</t>
        </is>
      </c>
      <c r="F8" s="2" t="inlineStr">
        <is>
          <t>RN-5, RN-3</t>
        </is>
      </c>
    </row>
    <row r="9">
      <c r="A9" s="2" t="inlineStr">
        <is>
          <t>CEPA-001</t>
        </is>
      </c>
      <c r="B9" s="2" t="inlineStr">
        <is>
          <t>TC</t>
        </is>
      </c>
      <c r="C9" s="2" t="inlineStr">
        <is>
          <t>TC-001-03</t>
        </is>
      </c>
      <c r="D9" s="2" t="inlineStr">
        <is>
          <t>Negativo: contraseña incorrecta rechazada con mensaje genérico sin revelar el campo fallido</t>
        </is>
      </c>
      <c r="E9" s="2" t="inlineStr">
        <is>
          <t>TC-CEPA-001-008</t>
        </is>
      </c>
      <c r="F9" s="2" t="inlineStr"/>
    </row>
    <row r="10">
      <c r="A10" s="2" t="inlineStr">
        <is>
          <t>CEPA-002</t>
        </is>
      </c>
      <c r="B10" s="2" t="inlineStr">
        <is>
          <t>AC</t>
        </is>
      </c>
      <c r="C10" s="2" t="inlineStr">
        <is>
          <t>CA-1</t>
        </is>
      </c>
      <c r="D10" s="2" t="inlineStr">
        <is>
          <t>Dado Coordinación en gestión de usuarios, cuando crea un usuario con uno de los 3 perfiles, entonces queda habilitado con esos permisos y visible en el listado</t>
        </is>
      </c>
      <c r="E10" s="2" t="inlineStr">
        <is>
          <t>TC-CEPA-002-001</t>
        </is>
      </c>
      <c r="F10" s="2" t="inlineStr">
        <is>
          <t>RN-1, RN-4</t>
        </is>
      </c>
    </row>
    <row r="11">
      <c r="A11" s="2" t="inlineStr">
        <is>
          <t>CEPA-002</t>
        </is>
      </c>
      <c r="B11" s="2" t="inlineStr">
        <is>
          <t>AC</t>
        </is>
      </c>
      <c r="C11" s="2" t="inlineStr">
        <is>
          <t>CA-2</t>
        </is>
      </c>
      <c r="D11" s="2" t="inlineStr">
        <is>
          <t>Dado los 3 perfiles operativos, cuando Coordinación revisa los perfiles disponibles, entonces el sistema no ofrece el perfil Clínico (v4 D1)</t>
        </is>
      </c>
      <c r="E11" s="2" t="inlineStr">
        <is>
          <t>TC-CEPA-002-002</t>
        </is>
      </c>
      <c r="F11" s="2" t="inlineStr">
        <is>
          <t>RN-1</t>
        </is>
      </c>
    </row>
    <row r="12">
      <c r="A12" s="2" t="inlineStr">
        <is>
          <t>CEPA-002</t>
        </is>
      </c>
      <c r="B12" s="2" t="inlineStr">
        <is>
          <t>AC</t>
        </is>
      </c>
      <c r="C12" s="2" t="inlineStr">
        <is>
          <t>CA-3</t>
        </is>
      </c>
      <c r="D12" s="2" t="inlineStr">
        <is>
          <t>Dado un Auditor con sesión, cuando abre un módulo con datos clínicos, entonces solo lectura y edición bloqueada</t>
        </is>
      </c>
      <c r="E12" s="2" t="inlineStr">
        <is>
          <t>TC-CEPA-002-003</t>
        </is>
      </c>
      <c r="F12" s="2" t="inlineStr">
        <is>
          <t>RN-2, RN-3</t>
        </is>
      </c>
    </row>
    <row r="13">
      <c r="A13" s="2" t="inlineStr">
        <is>
          <t>CEPA-002</t>
        </is>
      </c>
      <c r="B13" s="2" t="inlineStr">
        <is>
          <t>AC</t>
        </is>
      </c>
      <c r="C13" s="2" t="inlineStr">
        <is>
          <t>CA-4</t>
        </is>
      </c>
      <c r="D13" s="2" t="inlineStr">
        <is>
          <t>Dado un Administrativo, cuando solicita crear o editar un usuario, entonces el sistema deniega por falta de permisos</t>
        </is>
      </c>
      <c r="E13" s="2" t="inlineStr">
        <is>
          <t>TC-CEPA-002-004</t>
        </is>
      </c>
      <c r="F13" s="2" t="inlineStr">
        <is>
          <t>RN-4, RN-5</t>
        </is>
      </c>
    </row>
    <row r="14">
      <c r="A14" s="2" t="inlineStr">
        <is>
          <t>CEPA-002</t>
        </is>
      </c>
      <c r="B14" s="2" t="inlineStr">
        <is>
          <t>AC</t>
        </is>
      </c>
      <c r="C14" s="2" t="inlineStr">
        <is>
          <t>CA-5</t>
        </is>
      </c>
      <c r="D14" s="2" t="inlineStr">
        <is>
          <t>Dado un usuario que deja el CEPA, cuando Coordinación lo desactiva, entonces pierde el acceso de inmediato y el cambio queda en auditoría</t>
        </is>
      </c>
      <c r="E14" s="2" t="inlineStr">
        <is>
          <t>TC-CEPA-002-005</t>
        </is>
      </c>
      <c r="F14" s="2" t="inlineStr">
        <is>
          <t>RN-4, RN-7</t>
        </is>
      </c>
    </row>
    <row r="15">
      <c r="A15" s="2" t="inlineStr">
        <is>
          <t>CEPA-002</t>
        </is>
      </c>
      <c r="B15" s="2" t="inlineStr">
        <is>
          <t>BR</t>
        </is>
      </c>
      <c r="C15" s="2" t="inlineStr">
        <is>
          <t>RN-2</t>
        </is>
      </c>
      <c r="D15" s="2" t="inlineStr">
        <is>
          <t>Permisos diferenciados por módulo: edición (CRUD) vs. solo lectura según la función del usuario</t>
        </is>
      </c>
      <c r="E15" s="2" t="inlineStr">
        <is>
          <t>TC-CEPA-002-006</t>
        </is>
      </c>
      <c r="F15" s="2" t="inlineStr">
        <is>
          <t>RN-2, RN-5</t>
        </is>
      </c>
    </row>
    <row r="16">
      <c r="A16" s="2" t="inlineStr">
        <is>
          <t>CEPA-002</t>
        </is>
      </c>
      <c r="B16" s="2" t="inlineStr">
        <is>
          <t>BR</t>
        </is>
      </c>
      <c r="C16" s="2" t="inlineStr">
        <is>
          <t>RN-3</t>
        </is>
      </c>
      <c r="D16" s="2" t="inlineStr">
        <is>
          <t>El Auditor tiene lectura total y acceso al módulo de Auditoría y reportes de cumplimiento, sin edición de datos clínicos</t>
        </is>
      </c>
      <c r="E16" s="2" t="inlineStr">
        <is>
          <t>TC-CEPA-002-007</t>
        </is>
      </c>
      <c r="F16" s="2" t="inlineStr">
        <is>
          <t>RN-3, RN-2</t>
        </is>
      </c>
    </row>
    <row r="17">
      <c r="A17" s="2" t="inlineStr">
        <is>
          <t>CEPA-002</t>
        </is>
      </c>
      <c r="B17" s="2" t="inlineStr">
        <is>
          <t>BR</t>
        </is>
      </c>
      <c r="C17" s="2" t="inlineStr">
        <is>
          <t>RN-6</t>
        </is>
      </c>
      <c r="D17" s="2" t="inlineStr">
        <is>
          <t>La cantidad de usuarios por perfil queda abierta; no hay límite fijo de cupos por perfil</t>
        </is>
      </c>
      <c r="E17" s="2" t="inlineStr">
        <is>
          <t>TC-CEPA-002-008</t>
        </is>
      </c>
      <c r="F17" s="2" t="inlineStr">
        <is>
          <t>RN-6</t>
        </is>
      </c>
    </row>
    <row r="18">
      <c r="A18" s="2" t="inlineStr">
        <is>
          <t>CEPA-002</t>
        </is>
      </c>
      <c r="B18" s="2" t="inlineStr">
        <is>
          <t>BR</t>
        </is>
      </c>
      <c r="C18" s="2" t="inlineStr">
        <is>
          <t>RN-7</t>
        </is>
      </c>
      <c r="D18" s="2" t="inlineStr">
        <is>
          <t>Toda alta, baja o cambio de rol de un usuario se registra en el log de auditoría</t>
        </is>
      </c>
      <c r="E18" s="2" t="inlineStr">
        <is>
          <t>TC-CEPA-002-009</t>
        </is>
      </c>
      <c r="F18" s="2" t="inlineStr">
        <is>
          <t>RN-7</t>
        </is>
      </c>
    </row>
    <row r="19">
      <c r="A19" s="2" t="inlineStr">
        <is>
          <t>CEPA-003</t>
        </is>
      </c>
      <c r="B19" s="2" t="inlineStr">
        <is>
          <t>AC</t>
        </is>
      </c>
      <c r="C19" s="2" t="inlineStr">
        <is>
          <t>CA-1</t>
        </is>
      </c>
      <c r="D19" s="2" t="inlineStr">
        <is>
          <t>Dado una operación CRUD sobre cualquier registro, cuando se confirma, entonces se registra traza con usuario, operación, registro y fecha/hora</t>
        </is>
      </c>
      <c r="E19" s="2" t="inlineStr">
        <is>
          <t>TC-CEPA-003-001</t>
        </is>
      </c>
      <c r="F19" s="2" t="inlineStr">
        <is>
          <t>RN-1, RN-2</t>
        </is>
      </c>
    </row>
    <row r="20">
      <c r="A20" s="2" t="inlineStr">
        <is>
          <t>CEPA-003</t>
        </is>
      </c>
      <c r="B20" s="2" t="inlineStr">
        <is>
          <t>AC</t>
        </is>
      </c>
      <c r="C20" s="2" t="inlineStr">
        <is>
          <t>CA-2</t>
        </is>
      </c>
      <c r="D20" s="2" t="inlineStr">
        <is>
          <t>Dado una traza existente, cuando cualquier usuario intenta modificarla o eliminarla, entonces el sistema lo impide: log inmutable</t>
        </is>
      </c>
      <c r="E20" s="2" t="inlineStr">
        <is>
          <t>TC-CEPA-003-002</t>
        </is>
      </c>
      <c r="F20" s="2" t="inlineStr">
        <is>
          <t>RN-3</t>
        </is>
      </c>
    </row>
    <row r="21">
      <c r="A21" s="2" t="inlineStr">
        <is>
          <t>CEPA-003</t>
        </is>
      </c>
      <c r="B21" s="2" t="inlineStr">
        <is>
          <t>AC</t>
        </is>
      </c>
      <c r="C21" s="2" t="inlineStr">
        <is>
          <t>CA-3</t>
        </is>
      </c>
      <c r="D21" s="2" t="inlineStr">
        <is>
          <t>Dado acceso al log, cuando Auditor/Coordinación aplica filtros por usuario, módulo, operación y fechas, entonces se muestran las trazas que cumplen los criterios</t>
        </is>
      </c>
      <c r="E21" s="2" t="inlineStr">
        <is>
          <t>TC-CEPA-003-003</t>
        </is>
      </c>
      <c r="F21" s="2" t="inlineStr">
        <is>
          <t>RN-4, RN-5</t>
        </is>
      </c>
    </row>
    <row r="22">
      <c r="A22" s="2" t="inlineStr">
        <is>
          <t>CEPA-003</t>
        </is>
      </c>
      <c r="B22" s="2" t="inlineStr">
        <is>
          <t>AC</t>
        </is>
      </c>
      <c r="C22" s="2" t="inlineStr">
        <is>
          <t>CA-4</t>
        </is>
      </c>
      <c r="D22" s="2" t="inlineStr">
        <is>
          <t>Dado un Administrativo, cuando solicita la vista del log de auditoría, entonces el sistema deniega el acceso por falta de permisos</t>
        </is>
      </c>
      <c r="E22" s="2" t="inlineStr">
        <is>
          <t>TC-CEPA-003-004</t>
        </is>
      </c>
      <c r="F22" s="2" t="inlineStr">
        <is>
          <t>RN-5</t>
        </is>
      </c>
    </row>
    <row r="23">
      <c r="A23" s="2" t="inlineStr">
        <is>
          <t>CEPA-003</t>
        </is>
      </c>
      <c r="B23" s="2" t="inlineStr">
        <is>
          <t>BR</t>
        </is>
      </c>
      <c r="C23" s="2" t="inlineStr">
        <is>
          <t>RN-2</t>
        </is>
      </c>
      <c r="D23" s="2" t="inlineStr">
        <is>
          <t>Cada traza registra mínimo: usuario, perfil/rol, operación, entidad y registro, valor anterior/nuevo cuando aplica, y marca temporal</t>
        </is>
      </c>
      <c r="E23" s="2" t="inlineStr">
        <is>
          <t>TC-CEPA-003-005</t>
        </is>
      </c>
      <c r="F23" s="2" t="inlineStr">
        <is>
          <t>RN-2, RN-1</t>
        </is>
      </c>
    </row>
    <row r="24">
      <c r="A24" s="2" t="inlineStr">
        <is>
          <t>CEPA-003</t>
        </is>
      </c>
      <c r="B24" s="2" t="inlineStr">
        <is>
          <t>BR</t>
        </is>
      </c>
      <c r="C24" s="2" t="inlineStr">
        <is>
          <t>RN-5</t>
        </is>
      </c>
      <c r="D24" s="2" t="inlineStr">
        <is>
          <t>El acceso de lectura al log se restringe a Auditor y Coordinación; ningún otro perfil puede visualizarlo</t>
        </is>
      </c>
      <c r="E24" s="2" t="inlineStr">
        <is>
          <t>TC-CEPA-003-006</t>
        </is>
      </c>
      <c r="F24" s="2" t="inlineStr">
        <is>
          <t>RN-5, RN-3</t>
        </is>
      </c>
    </row>
    <row r="25">
      <c r="A25" s="2" t="inlineStr">
        <is>
          <t>CEPA-003</t>
        </is>
      </c>
      <c r="B25" s="2" t="inlineStr">
        <is>
          <t>TC</t>
        </is>
      </c>
      <c r="C25" s="2" t="inlineStr">
        <is>
          <t>TC-003-05</t>
        </is>
      </c>
      <c r="D25" s="2" t="inlineStr">
        <is>
          <t>Negativo: operación CRUD falla a mitad de transacción; no queda traza parcial inconsistente</t>
        </is>
      </c>
      <c r="E25" s="2" t="inlineStr">
        <is>
          <t>TC-CEPA-003-007</t>
        </is>
      </c>
      <c r="F25" s="2" t="inlineStr">
        <is>
          <t>RN-1</t>
        </is>
      </c>
    </row>
    <row r="26">
      <c r="A26" s="2" t="inlineStr">
        <is>
          <t>CEPA-010</t>
        </is>
      </c>
      <c r="B26" s="2" t="inlineStr">
        <is>
          <t>AC</t>
        </is>
      </c>
      <c r="C26" s="2" t="inlineStr">
        <is>
          <t>CA-1</t>
        </is>
      </c>
      <c r="D26" s="2" t="inlineStr">
        <is>
          <t>Dado un RUT válido que ya existe, cuando se ingresa, el sistema pre-llena los datos y permite confirmar o actualizar</t>
        </is>
      </c>
      <c r="E26" s="2" t="inlineStr">
        <is>
          <t>TC-CEPA-010-001</t>
        </is>
      </c>
      <c r="F26" s="2" t="inlineStr">
        <is>
          <t>RN-3</t>
        </is>
      </c>
    </row>
    <row r="27">
      <c r="A27" s="2" t="inlineStr">
        <is>
          <t>CEPA-010</t>
        </is>
      </c>
      <c r="B27" s="2" t="inlineStr">
        <is>
          <t>AC</t>
        </is>
      </c>
      <c r="C27" s="2" t="inlineStr">
        <is>
          <t>CA-2</t>
        </is>
      </c>
      <c r="D27" s="2" t="inlineStr">
        <is>
          <t>Dado un formulario con todos los obligatorios, cuando guarda, se genera folio único automático y el registro aparece en búsquedas</t>
        </is>
      </c>
      <c r="E27" s="2" t="inlineStr">
        <is>
          <t>TC-CEPA-010-002</t>
        </is>
      </c>
      <c r="F27" s="2" t="inlineStr">
        <is>
          <t>RN-2, RN-4</t>
        </is>
      </c>
    </row>
    <row r="28">
      <c r="A28" s="2" t="inlineStr">
        <is>
          <t>CEPA-010</t>
        </is>
      </c>
      <c r="B28" s="2" t="inlineStr">
        <is>
          <t>AC</t>
        </is>
      </c>
      <c r="C28" s="2" t="inlineStr">
        <is>
          <t>CA-3</t>
        </is>
      </c>
      <c r="D28" s="2" t="inlineStr">
        <is>
          <t>Dado un ingreso con RUT inválido, cuando hace clic en guardar, se muestra error específico sin perder los datos ya ingresados</t>
        </is>
      </c>
      <c r="E28" s="2" t="inlineStr">
        <is>
          <t>TC-CEPA-010-003</t>
        </is>
      </c>
      <c r="F28" s="2" t="inlineStr">
        <is>
          <t>RN-1, RN-5</t>
        </is>
      </c>
    </row>
    <row r="29">
      <c r="A29" s="2" t="inlineStr">
        <is>
          <t>CEPA-010</t>
        </is>
      </c>
      <c r="B29" s="2" t="inlineStr">
        <is>
          <t>AC</t>
        </is>
      </c>
      <c r="C29" s="2" t="inlineStr">
        <is>
          <t>CA-4</t>
        </is>
      </c>
      <c r="D29" s="2" t="inlineStr">
        <is>
          <t>Dado un formulario incompleto, cuando intenta guardar sin campos obligatorios, el sistema bloquea el guardado y resalta los faltantes</t>
        </is>
      </c>
      <c r="E29" s="2" t="inlineStr">
        <is>
          <t>TC-CEPA-010-004</t>
        </is>
      </c>
      <c r="F29" s="2" t="inlineStr">
        <is>
          <t>RN-2</t>
        </is>
      </c>
    </row>
    <row r="30">
      <c r="A30" s="2" t="inlineStr">
        <is>
          <t>CEPA-010</t>
        </is>
      </c>
      <c r="B30" s="2" t="inlineStr">
        <is>
          <t>AC</t>
        </is>
      </c>
      <c r="C30" s="2" t="inlineStr">
        <is>
          <t>CA-5</t>
        </is>
      </c>
      <c r="D30" s="2" t="inlineStr">
        <is>
          <t>Dado el desplegable de tipo de derivación, cuando se revisan las opciones, solo aparecen los 9 valores válidos v4 D4</t>
        </is>
      </c>
      <c r="E30" s="2" t="inlineStr">
        <is>
          <t>TC-CEPA-010-005</t>
        </is>
      </c>
      <c r="F30" s="2" t="inlineStr">
        <is>
          <t>RN-6</t>
        </is>
      </c>
    </row>
    <row r="31">
      <c r="A31" s="2" t="inlineStr">
        <is>
          <t>CEPA-010</t>
        </is>
      </c>
      <c r="B31" s="2" t="inlineStr">
        <is>
          <t>BR</t>
        </is>
      </c>
      <c r="C31" s="2" t="inlineStr">
        <is>
          <t>RN-6</t>
        </is>
      </c>
      <c r="D31" s="2" t="inlineStr">
        <is>
          <t>Solo son válidos los 9 tipos de derivación v4 D4; el antiguo 'convenio SOCORRO' ya no es válido</t>
        </is>
      </c>
      <c r="E31" s="2" t="inlineStr">
        <is>
          <t>TC-CEPA-010-006</t>
        </is>
      </c>
      <c r="F31" s="2" t="inlineStr">
        <is>
          <t>RN-6</t>
        </is>
      </c>
    </row>
    <row r="32">
      <c r="A32" s="2" t="inlineStr">
        <is>
          <t>CEPA-010</t>
        </is>
      </c>
      <c r="B32" s="2" t="inlineStr">
        <is>
          <t>BR</t>
        </is>
      </c>
      <c r="C32" s="2" t="inlineStr">
        <is>
          <t>RN-7</t>
        </is>
      </c>
      <c r="D32" s="2" t="inlineStr">
        <is>
          <t>Campos del formulario §7.1.1: folio, mes y fecha de ingreso, fecha DIEP/DIAT, datos del paciente, tipo de derivación, razón social</t>
        </is>
      </c>
      <c r="E32" s="2" t="inlineStr">
        <is>
          <t>TC-CEPA-010-007</t>
        </is>
      </c>
      <c r="F32" s="2" t="inlineStr">
        <is>
          <t>RN-7</t>
        </is>
      </c>
    </row>
    <row r="33">
      <c r="A33" s="2" t="inlineStr">
        <is>
          <t>CEPA-010</t>
        </is>
      </c>
      <c r="B33" s="2" t="inlineStr">
        <is>
          <t>TC</t>
        </is>
      </c>
      <c r="C33" s="2" t="inlineStr">
        <is>
          <t>TC-010-06</t>
        </is>
      </c>
      <c r="D33" s="2" t="inlineStr">
        <is>
          <t>Usuario perfil Auditor intenta abrir/guardar formulario de nuevo ingreso; acceso denegado</t>
        </is>
      </c>
      <c r="E33" s="2" t="inlineStr">
        <is>
          <t>TC-CEPA-010-008</t>
        </is>
      </c>
      <c r="F33" s="2" t="inlineStr"/>
    </row>
    <row r="34">
      <c r="A34" s="2" t="inlineStr">
        <is>
          <t>CEPA-010</t>
        </is>
      </c>
      <c r="B34" s="2" t="inlineStr">
        <is>
          <t>PLANILLA</t>
        </is>
      </c>
      <c r="C34" s="2" t="inlineStr">
        <is>
          <t>Ingresos</t>
        </is>
      </c>
      <c r="D34" s="2" t="inlineStr">
        <is>
          <t>Hoja 'Ingresos' del Excel CEPA: 846+ registros, 27 columnas (A1:AA846)</t>
        </is>
      </c>
      <c r="E34" s="2" t="inlineStr">
        <is>
          <t>TC-CEPA-010-009</t>
        </is>
      </c>
      <c r="F34" s="2" t="inlineStr">
        <is>
          <t>RN-7</t>
        </is>
      </c>
    </row>
    <row r="35">
      <c r="A35" s="2" t="inlineStr">
        <is>
          <t>CEPA-010</t>
        </is>
      </c>
      <c r="B35" s="2" t="inlineStr">
        <is>
          <t>PLANILLA</t>
        </is>
      </c>
      <c r="C35" s="2" t="inlineStr">
        <is>
          <t>Ingresos</t>
        </is>
      </c>
      <c r="D35" s="2" t="inlineStr">
        <is>
          <t>Columnas tipo lista de la hoja 'Ingresos' (SI/NO, estados, tipos de alta) deben ser catálogos cerrados</t>
        </is>
      </c>
      <c r="E35" s="2" t="inlineStr">
        <is>
          <t>TC-CEPA-010-010</t>
        </is>
      </c>
      <c r="F35" s="2" t="inlineStr">
        <is>
          <t>RN-6</t>
        </is>
      </c>
    </row>
    <row r="36">
      <c r="A36" s="2" t="inlineStr">
        <is>
          <t>CEPA-010</t>
        </is>
      </c>
      <c r="B36" s="2" t="inlineStr">
        <is>
          <t>PLANILLA</t>
        </is>
      </c>
      <c r="C36" s="2" t="inlineStr">
        <is>
          <t>Ingresos</t>
        </is>
      </c>
      <c r="D36" s="2" t="inlineStr">
        <is>
          <t>La planilla histórica contiene celdas vacías y valores 'S/D' en columnas no obligatorias</t>
        </is>
      </c>
      <c r="E36" s="2" t="inlineStr">
        <is>
          <t>TC-CEPA-010-011</t>
        </is>
      </c>
      <c r="F36" s="2" t="inlineStr">
        <is>
          <t>RN-2</t>
        </is>
      </c>
    </row>
    <row r="37">
      <c r="A37" s="2" t="inlineStr">
        <is>
          <t>CEPA-011</t>
        </is>
      </c>
      <c r="B37" s="2" t="inlineStr">
        <is>
          <t>AC</t>
        </is>
      </c>
      <c r="C37" s="2" t="inlineStr">
        <is>
          <t>CA-1</t>
        </is>
      </c>
      <c r="D37" s="2" t="inlineStr">
        <is>
          <t>Dado un ingreso nuevo sin folio, cuando guarda, el sistema asigna un folio secuencial automático único</t>
        </is>
      </c>
      <c r="E37" s="2" t="inlineStr">
        <is>
          <t>TC-CEPA-011-001</t>
        </is>
      </c>
      <c r="F37" s="2" t="inlineStr">
        <is>
          <t>RN-1</t>
        </is>
      </c>
    </row>
    <row r="38">
      <c r="A38" s="2" t="inlineStr">
        <is>
          <t>CEPA-011</t>
        </is>
      </c>
      <c r="B38" s="2" t="inlineStr">
        <is>
          <t>AC</t>
        </is>
      </c>
      <c r="C38" s="2" t="inlineStr">
        <is>
          <t>CA-2</t>
        </is>
      </c>
      <c r="D38" s="2" t="inlineStr">
        <is>
          <t>Dado un reingreso tras alta, cuando se usa folio manual con el folio anterior, el sistema lo acepta y vincula el reingreso</t>
        </is>
      </c>
      <c r="E38" s="2" t="inlineStr">
        <is>
          <t>TC-CEPA-011-002</t>
        </is>
      </c>
      <c r="F38" s="2" t="inlineStr">
        <is>
          <t>RN-2, RN-3</t>
        </is>
      </c>
    </row>
    <row r="39">
      <c r="A39" s="2" t="inlineStr">
        <is>
          <t>CEPA-011</t>
        </is>
      </c>
      <c r="B39" s="2" t="inlineStr">
        <is>
          <t>AC</t>
        </is>
      </c>
      <c r="C39" s="2" t="inlineStr">
        <is>
          <t>CA-3</t>
        </is>
      </c>
      <c r="D39" s="2" t="inlineStr">
        <is>
          <t>Dado un ingreso recibido después de las 15:00 lun-jue, cuando se registra, se permite asignar la fecha del día hábil siguiente</t>
        </is>
      </c>
      <c r="E39" s="2" t="inlineStr">
        <is>
          <t>TC-CEPA-011-003</t>
        </is>
      </c>
      <c r="F39" s="2" t="inlineStr">
        <is>
          <t>RN-2</t>
        </is>
      </c>
    </row>
    <row r="40">
      <c r="A40" s="2" t="inlineStr">
        <is>
          <t>CEPA-011</t>
        </is>
      </c>
      <c r="B40" s="2" t="inlineStr">
        <is>
          <t>AC</t>
        </is>
      </c>
      <c r="C40" s="2" t="inlineStr">
        <is>
          <t>CA-4</t>
        </is>
      </c>
      <c r="D40" s="2" t="inlineStr">
        <is>
          <t>Dado un mismo RUT con DIAT 2020 y DIEP 2026, cuando se registra el segundo caso, se diferencia reingreso de nueva denuncia por número de siniestro</t>
        </is>
      </c>
      <c r="E40" s="2" t="inlineStr">
        <is>
          <t>TC-CEPA-011-004</t>
        </is>
      </c>
      <c r="F40" s="2" t="inlineStr">
        <is>
          <t>RN-4</t>
        </is>
      </c>
    </row>
    <row r="41">
      <c r="A41" s="2" t="inlineStr">
        <is>
          <t>CEPA-011</t>
        </is>
      </c>
      <c r="B41" s="2" t="inlineStr">
        <is>
          <t>BR</t>
        </is>
      </c>
      <c r="C41" s="2" t="inlineStr">
        <is>
          <t>RN-2</t>
        </is>
      </c>
      <c r="D41" s="2" t="inlineStr">
        <is>
          <t>Opción de folio manual para tres casos v4 D2: reingresos, folios pre-asignados del Excel, e ingresos posteriores a las 15:00</t>
        </is>
      </c>
      <c r="E41" s="2" t="inlineStr">
        <is>
          <t>TC-CEPA-011-005</t>
        </is>
      </c>
      <c r="F41" s="2" t="inlineStr">
        <is>
          <t>RN-2</t>
        </is>
      </c>
    </row>
    <row r="42">
      <c r="A42" s="2" t="inlineStr">
        <is>
          <t>CEPA-011</t>
        </is>
      </c>
      <c r="B42" s="2" t="inlineStr">
        <is>
          <t>BR</t>
        </is>
      </c>
      <c r="C42" s="2" t="inlineStr">
        <is>
          <t>RN-3</t>
        </is>
      </c>
      <c r="D42" s="2" t="inlineStr">
        <is>
          <t>Un folio manual no puede colisionar con un folio ya emitido salvo reingreso explícito del mismo paciente</t>
        </is>
      </c>
      <c r="E42" s="2" t="inlineStr">
        <is>
          <t>TC-CEPA-011-006</t>
        </is>
      </c>
      <c r="F42" s="2" t="inlineStr">
        <is>
          <t>RN-1, RN-3</t>
        </is>
      </c>
    </row>
    <row r="43">
      <c r="A43" s="2" t="inlineStr">
        <is>
          <t>CEPA-011</t>
        </is>
      </c>
      <c r="B43" s="2" t="inlineStr">
        <is>
          <t>BR</t>
        </is>
      </c>
      <c r="C43" s="2" t="inlineStr">
        <is>
          <t>RN-5</t>
        </is>
      </c>
      <c r="D43" s="2" t="inlineStr">
        <is>
          <t>El contador secuencial automático debe continuar sin saltos no controlados tras un ingreso manual</t>
        </is>
      </c>
      <c r="E43" s="2" t="inlineStr">
        <is>
          <t>TC-CEPA-011-007</t>
        </is>
      </c>
      <c r="F43" s="2" t="inlineStr">
        <is>
          <t>RN-1, RN-5</t>
        </is>
      </c>
    </row>
    <row r="44">
      <c r="A44" s="2" t="inlineStr">
        <is>
          <t>CEPA-011</t>
        </is>
      </c>
      <c r="B44" s="2" t="inlineStr">
        <is>
          <t>TC</t>
        </is>
      </c>
      <c r="C44" s="2" t="inlineStr">
        <is>
          <t>TC-011-06</t>
        </is>
      </c>
      <c r="D44" s="2" t="inlineStr">
        <is>
          <t>Usuario perfil Auditor intenta editar folio manualmente; acceso denegado</t>
        </is>
      </c>
      <c r="E44" s="2" t="inlineStr">
        <is>
          <t>TC-CEPA-011-008</t>
        </is>
      </c>
      <c r="F44" s="2" t="inlineStr"/>
    </row>
    <row r="45">
      <c r="A45" s="2" t="inlineStr">
        <is>
          <t>CEPA-012</t>
        </is>
      </c>
      <c r="B45" s="2" t="inlineStr">
        <is>
          <t>AC</t>
        </is>
      </c>
      <c r="C45" s="2" t="inlineStr">
        <is>
          <t>CA-1</t>
        </is>
      </c>
      <c r="D45" s="2" t="inlineStr">
        <is>
          <t>Dado un RUT, nombre o folio existente, cuando se busca, se muestra el paciente con todas sus dimensiones en una sola pantalla</t>
        </is>
      </c>
      <c r="E45" s="2" t="inlineStr">
        <is>
          <t>TC-CEPA-012-001</t>
        </is>
      </c>
      <c r="F45" s="2" t="inlineStr">
        <is>
          <t>RN-1, RN-3</t>
        </is>
      </c>
    </row>
    <row r="46">
      <c r="A46" s="2" t="inlineStr">
        <is>
          <t>CEPA-012</t>
        </is>
      </c>
      <c r="B46" s="2" t="inlineStr">
        <is>
          <t>AC</t>
        </is>
      </c>
      <c r="C46" s="2" t="inlineStr">
        <is>
          <t>CA-2</t>
        </is>
      </c>
      <c r="D46" s="2" t="inlineStr">
        <is>
          <t>Dado el estado completo de un caso, cuando se ejecuta la búsqueda, se presenta el consolidado en menos de 10 segundos (OU3)</t>
        </is>
      </c>
      <c r="E46" s="2" t="inlineStr">
        <is>
          <t>TC-CEPA-012-002</t>
        </is>
      </c>
      <c r="F46" s="2" t="inlineStr">
        <is>
          <t>RN-2</t>
        </is>
      </c>
    </row>
    <row r="47">
      <c r="A47" s="2" t="inlineStr">
        <is>
          <t>CEPA-012</t>
        </is>
      </c>
      <c r="B47" s="2" t="inlineStr">
        <is>
          <t>AC</t>
        </is>
      </c>
      <c r="C47" s="2" t="inlineStr">
        <is>
          <t>CA-3</t>
        </is>
      </c>
      <c r="D47" s="2" t="inlineStr">
        <is>
          <t>Dado un término sin coincidencias, cuando se busca, el sistema informa que no hay resultados sin error</t>
        </is>
      </c>
      <c r="E47" s="2" t="inlineStr">
        <is>
          <t>TC-CEPA-012-003</t>
        </is>
      </c>
      <c r="F47" s="2" t="inlineStr">
        <is>
          <t>RN-5</t>
        </is>
      </c>
    </row>
    <row r="48">
      <c r="A48" s="2" t="inlineStr">
        <is>
          <t>CEPA-012</t>
        </is>
      </c>
      <c r="B48" s="2" t="inlineStr">
        <is>
          <t>AC</t>
        </is>
      </c>
      <c r="C48" s="2" t="inlineStr">
        <is>
          <t>CA-4</t>
        </is>
      </c>
      <c r="D48" s="2" t="inlineStr">
        <is>
          <t>Dado un nombre parcial con coincidencias múltiples, cuando se busca, se listan los pacientes coincidentes para seleccionar</t>
        </is>
      </c>
      <c r="E48" s="2" t="inlineStr">
        <is>
          <t>TC-CEPA-012-004</t>
        </is>
      </c>
      <c r="F48" s="2" t="inlineStr">
        <is>
          <t>RN-1</t>
        </is>
      </c>
    </row>
    <row r="49">
      <c r="A49" s="2" t="inlineStr">
        <is>
          <t>CEPA-012</t>
        </is>
      </c>
      <c r="B49" s="2" t="inlineStr">
        <is>
          <t>BR</t>
        </is>
      </c>
      <c r="C49" s="2" t="inlineStr">
        <is>
          <t>RN-4</t>
        </is>
      </c>
      <c r="D49" s="2" t="inlineStr">
        <is>
          <t>El acceso a la vista 360° respeta RBAC; el perfil Auditor accede en solo lectura</t>
        </is>
      </c>
      <c r="E49" s="2" t="inlineStr">
        <is>
          <t>TC-CEPA-012-005</t>
        </is>
      </c>
      <c r="F49" s="2" t="inlineStr">
        <is>
          <t>RN-4</t>
        </is>
      </c>
    </row>
    <row r="50">
      <c r="A50" s="2" t="inlineStr">
        <is>
          <t>CEPA-013</t>
        </is>
      </c>
      <c r="B50" s="2" t="inlineStr">
        <is>
          <t>AC</t>
        </is>
      </c>
      <c r="C50" s="2" t="inlineStr">
        <is>
          <t>CA-1</t>
        </is>
      </c>
      <c r="D50" s="2" t="inlineStr">
        <is>
          <t>Dado un ingreso, cuando se registra primera acogida y estado de consentimiento, el sistema guarda fecha y estado en el caso</t>
        </is>
      </c>
      <c r="E50" s="2" t="inlineStr">
        <is>
          <t>TC-CEPA-013-001</t>
        </is>
      </c>
      <c r="F50" s="2" t="inlineStr">
        <is>
          <t>RN-1</t>
        </is>
      </c>
    </row>
    <row r="51">
      <c r="A51" s="2" t="inlineStr">
        <is>
          <t>CEPA-013</t>
        </is>
      </c>
      <c r="B51" s="2" t="inlineStr">
        <is>
          <t>AC</t>
        </is>
      </c>
      <c r="C51" s="2" t="inlineStr">
        <is>
          <t>CA-2</t>
        </is>
      </c>
      <c r="D51" s="2" t="inlineStr">
        <is>
          <t>Dado un ingreso en evaluación, cuando se registran evaluación médica y psicológica, el sistema actualiza el avance del proceso</t>
        </is>
      </c>
      <c r="E51" s="2" t="inlineStr">
        <is>
          <t>TC-CEPA-013-002</t>
        </is>
      </c>
      <c r="F51" s="2" t="inlineStr">
        <is>
          <t>RN-1, RN-2</t>
        </is>
      </c>
    </row>
    <row r="52">
      <c r="A52" s="2" t="inlineStr">
        <is>
          <t>CEPA-013</t>
        </is>
      </c>
      <c r="B52" s="2" t="inlineStr">
        <is>
          <t>AC</t>
        </is>
      </c>
      <c r="C52" s="2" t="inlineStr">
        <is>
          <t>CA-3</t>
        </is>
      </c>
      <c r="D52" s="2" t="inlineStr">
        <is>
          <t>Dado un plazo de informe por programa, cuando la evaluación no se realiza dentro del plazo, el validador indica incumplimiento (v4 D10)</t>
        </is>
      </c>
      <c r="E52" s="2" t="inlineStr">
        <is>
          <t>TC-CEPA-013-003</t>
        </is>
      </c>
      <c r="F52" s="2" t="inlineStr">
        <is>
          <t>RN-3</t>
        </is>
      </c>
    </row>
    <row r="53">
      <c r="A53" s="2" t="inlineStr">
        <is>
          <t>CEPA-013</t>
        </is>
      </c>
      <c r="B53" s="2" t="inlineStr">
        <is>
          <t>AC</t>
        </is>
      </c>
      <c r="C53" s="2" t="inlineStr">
        <is>
          <t>CA-4</t>
        </is>
      </c>
      <c r="D53" s="2" t="inlineStr">
        <is>
          <t>Dado un ingreso en proceso, cuando se registran obstaculización, plazos de informe y RECA EP/EC, el sistema los almacena y muestra</t>
        </is>
      </c>
      <c r="E53" s="2" t="inlineStr">
        <is>
          <t>TC-CEPA-013-004</t>
        </is>
      </c>
      <c r="F53" s="2" t="inlineStr">
        <is>
          <t>RN-1</t>
        </is>
      </c>
    </row>
    <row r="54">
      <c r="A54" s="2" t="inlineStr">
        <is>
          <t>CEPA-013</t>
        </is>
      </c>
      <c r="B54" s="2" t="inlineStr">
        <is>
          <t>BR</t>
        </is>
      </c>
      <c r="C54" s="2" t="inlineStr">
        <is>
          <t>RN-2</t>
        </is>
      </c>
      <c r="D54" s="2" t="inlineStr">
        <is>
          <t>Estados de evaluación válidos: realizada / pendiente / no aplica</t>
        </is>
      </c>
      <c r="E54" s="2" t="inlineStr">
        <is>
          <t>TC-CEPA-013-005</t>
        </is>
      </c>
      <c r="F54" s="2" t="inlineStr">
        <is>
          <t>RN-2</t>
        </is>
      </c>
    </row>
    <row r="55">
      <c r="A55" s="2" t="inlineStr">
        <is>
          <t>CEPA-013</t>
        </is>
      </c>
      <c r="B55" s="2" t="inlineStr">
        <is>
          <t>BR</t>
        </is>
      </c>
      <c r="C55" s="2" t="inlineStr">
        <is>
          <t>RN-3</t>
        </is>
      </c>
      <c r="D55" s="2" t="inlineStr">
        <is>
          <t>El validador de plazos por programa calcula si la evaluación se realizó dentro del plazo y expone un estado de cumplimiento (v4 D10)</t>
        </is>
      </c>
      <c r="E55" s="2" t="inlineStr">
        <is>
          <t>TC-CEPA-013-006</t>
        </is>
      </c>
      <c r="F55" s="2" t="inlineStr">
        <is>
          <t>RN-3</t>
        </is>
      </c>
    </row>
    <row r="56">
      <c r="A56" s="2" t="inlineStr">
        <is>
          <t>CEPA-013</t>
        </is>
      </c>
      <c r="B56" s="2" t="inlineStr">
        <is>
          <t>BR</t>
        </is>
      </c>
      <c r="C56" s="2" t="inlineStr">
        <is>
          <t>RN-4</t>
        </is>
      </c>
      <c r="D56" s="2" t="inlineStr">
        <is>
          <t>El registro de cada hito queda con trazabilidad (quién y cuándo) en el log de auditoría</t>
        </is>
      </c>
      <c r="E56" s="2" t="inlineStr">
        <is>
          <t>TC-CEPA-013-007</t>
        </is>
      </c>
      <c r="F56" s="2" t="inlineStr">
        <is>
          <t>RN-4</t>
        </is>
      </c>
    </row>
    <row r="57">
      <c r="A57" s="2" t="inlineStr">
        <is>
          <t>CEPA-013</t>
        </is>
      </c>
      <c r="B57" s="2" t="inlineStr">
        <is>
          <t>BR</t>
        </is>
      </c>
      <c r="C57" s="2" t="inlineStr">
        <is>
          <t>RN-5</t>
        </is>
      </c>
      <c r="D57" s="2" t="inlineStr">
        <is>
          <t>El perfil Auditor visualiza el seguimiento en solo lectura</t>
        </is>
      </c>
      <c r="E57" s="2" t="inlineStr">
        <is>
          <t>TC-CEPA-013-008</t>
        </is>
      </c>
      <c r="F57" s="2" t="inlineStr">
        <is>
          <t>RN-5</t>
        </is>
      </c>
    </row>
    <row r="58">
      <c r="A58" s="2" t="inlineStr">
        <is>
          <t>CEPA-014</t>
        </is>
      </c>
      <c r="B58" s="2" t="inlineStr">
        <is>
          <t>AC</t>
        </is>
      </c>
      <c r="C58" s="2" t="inlineStr">
        <is>
          <t>CA-1</t>
        </is>
      </c>
      <c r="D58" s="2" t="inlineStr">
        <is>
          <t>Dado un caso activo, cuando se cambia el estado a cerrado o derivado, el sistema lo actualiza y lo refleja en la vista del paciente</t>
        </is>
      </c>
      <c r="E58" s="2" t="inlineStr">
        <is>
          <t>TC-CEPA-014-001</t>
        </is>
      </c>
      <c r="F58" s="2" t="inlineStr">
        <is>
          <t>RN-1, RN-5</t>
        </is>
      </c>
    </row>
    <row r="59">
      <c r="A59" s="2" t="inlineStr">
        <is>
          <t>CEPA-014</t>
        </is>
      </c>
      <c r="B59" s="2" t="inlineStr">
        <is>
          <t>AC</t>
        </is>
      </c>
      <c r="C59" s="2" t="inlineStr">
        <is>
          <t>CA-2</t>
        </is>
      </c>
      <c r="D59" s="2" t="inlineStr">
        <is>
          <t>Dado un cierre de caso, cuando se registra el tipo de alta del catálogo, el sistema guarda el tipo y la fecha asociada</t>
        </is>
      </c>
      <c r="E59" s="2" t="inlineStr">
        <is>
          <t>TC-CEPA-014-002</t>
        </is>
      </c>
      <c r="F59" s="2" t="inlineStr">
        <is>
          <t>RN-2</t>
        </is>
      </c>
    </row>
    <row r="60">
      <c r="A60" s="2" t="inlineStr">
        <is>
          <t>CEPA-014</t>
        </is>
      </c>
      <c r="B60" s="2" t="inlineStr">
        <is>
          <t>AC</t>
        </is>
      </c>
      <c r="C60" s="2" t="inlineStr">
        <is>
          <t>CA-3</t>
        </is>
      </c>
      <c r="D60" s="2" t="inlineStr">
        <is>
          <t>Dado un caso con seguimiento especial, cuando se activa el flag de revisión y se agregan observaciones, el sistema los persiste</t>
        </is>
      </c>
      <c r="E60" s="2" t="inlineStr">
        <is>
          <t>TC-CEPA-014-003</t>
        </is>
      </c>
      <c r="F60" s="2" t="inlineStr">
        <is>
          <t>RN-3</t>
        </is>
      </c>
    </row>
    <row r="61">
      <c r="A61" s="2" t="inlineStr">
        <is>
          <t>CEPA-014</t>
        </is>
      </c>
      <c r="B61" s="2" t="inlineStr">
        <is>
          <t>AC</t>
        </is>
      </c>
      <c r="C61" s="2" t="inlineStr">
        <is>
          <t>CA-4</t>
        </is>
      </c>
      <c r="D61" s="2" t="inlineStr">
        <is>
          <t>Dado que se opta por fecha de alta única (v4 D11), cuando se cierra el caso, se registra la fecha de la última atención como fecha de alta</t>
        </is>
      </c>
      <c r="E61" s="2" t="inlineStr">
        <is>
          <t>TC-CEPA-014-004</t>
        </is>
      </c>
      <c r="F61" s="2" t="inlineStr">
        <is>
          <t>RN-4</t>
        </is>
      </c>
    </row>
    <row r="62">
      <c r="A62" s="2" t="inlineStr">
        <is>
          <t>CEPA-014</t>
        </is>
      </c>
      <c r="B62" s="2" t="inlineStr">
        <is>
          <t>BR</t>
        </is>
      </c>
      <c r="C62" s="2" t="inlineStr">
        <is>
          <t>RN-2</t>
        </is>
      </c>
      <c r="D62" s="2" t="inlineStr">
        <is>
          <t>Tipos de alta válidos (§7.1.3, v4 D6): terapéutica, médica, psicológica, abandono, derivación</t>
        </is>
      </c>
      <c r="E62" s="2" t="inlineStr">
        <is>
          <t>TC-CEPA-014-005</t>
        </is>
      </c>
      <c r="F62" s="2" t="inlineStr">
        <is>
          <t>RN-2</t>
        </is>
      </c>
    </row>
    <row r="63">
      <c r="A63" s="2" t="inlineStr">
        <is>
          <t>CEPA-014</t>
        </is>
      </c>
      <c r="B63" s="2" t="inlineStr">
        <is>
          <t>BR</t>
        </is>
      </c>
      <c r="C63" s="2" t="inlineStr">
        <is>
          <t>RN-5</t>
        </is>
      </c>
      <c r="D63" s="2" t="inlineStr">
        <is>
          <t>Todo cambio de estado/alta queda registrado en el log de auditoría con autor y fecha</t>
        </is>
      </c>
      <c r="E63" s="2" t="inlineStr">
        <is>
          <t>TC-CEPA-014-006</t>
        </is>
      </c>
      <c r="F63" s="2" t="inlineStr">
        <is>
          <t>RN-5</t>
        </is>
      </c>
    </row>
    <row r="64">
      <c r="A64" s="2" t="inlineStr">
        <is>
          <t>CEPA-014</t>
        </is>
      </c>
      <c r="B64" s="2" t="inlineStr">
        <is>
          <t>TC</t>
        </is>
      </c>
      <c r="C64" s="2" t="inlineStr">
        <is>
          <t>TC-014-05</t>
        </is>
      </c>
      <c r="D64" s="2" t="inlineStr">
        <is>
          <t>Cerrar caso con flag de revisión activo; el caso cerrado conserva el flag</t>
        </is>
      </c>
      <c r="E64" s="2" t="inlineStr">
        <is>
          <t>TC-CEPA-014-007</t>
        </is>
      </c>
      <c r="F64" s="2" t="inlineStr">
        <is>
          <t>RN-3</t>
        </is>
      </c>
    </row>
    <row r="65">
      <c r="A65" s="2" t="inlineStr">
        <is>
          <t>CEPA-014</t>
        </is>
      </c>
      <c r="B65" s="2" t="inlineStr">
        <is>
          <t>TC</t>
        </is>
      </c>
      <c r="C65" s="2" t="inlineStr">
        <is>
          <t>TC-014-06</t>
        </is>
      </c>
      <c r="D65" s="2" t="inlineStr">
        <is>
          <t>Usuario perfil Auditor intenta cerrar/dar de alta un caso; acceso denegado</t>
        </is>
      </c>
      <c r="E65" s="2" t="inlineStr">
        <is>
          <t>TC-CEPA-014-008</t>
        </is>
      </c>
      <c r="F65" s="2" t="inlineStr"/>
    </row>
    <row r="66">
      <c r="A66" s="2" t="inlineStr">
        <is>
          <t>CEPA-015</t>
        </is>
      </c>
      <c r="B66" s="2" t="inlineStr">
        <is>
          <t>AC</t>
        </is>
      </c>
      <c r="C66" s="2" t="inlineStr">
        <is>
          <t>CA-1</t>
        </is>
      </c>
      <c r="D66" s="2" t="inlineStr">
        <is>
          <t>Dado un paciente/ingreso, cuando se registra una ODA con fecha de vencimiento, el sistema la guarda vinculada al folio</t>
        </is>
      </c>
      <c r="E66" s="2" t="inlineStr">
        <is>
          <t>TC-CEPA-015-001</t>
        </is>
      </c>
      <c r="F66" s="2" t="inlineStr">
        <is>
          <t>RN-1, RN-2</t>
        </is>
      </c>
    </row>
    <row r="67">
      <c r="A67" s="2" t="inlineStr">
        <is>
          <t>CEPA-015</t>
        </is>
      </c>
      <c r="B67" s="2" t="inlineStr">
        <is>
          <t>AC</t>
        </is>
      </c>
      <c r="C67" s="2" t="inlineStr">
        <is>
          <t>CA-2</t>
        </is>
      </c>
      <c r="D67" s="2" t="inlineStr">
        <is>
          <t>Dada una ODA con vencimiento próximo, cuando corre el proceso de alertas, se genera alerta visible de 'ODA por vencer'</t>
        </is>
      </c>
      <c r="E67" s="2" t="inlineStr">
        <is>
          <t>TC-CEPA-015-002</t>
        </is>
      </c>
      <c r="F67" s="2" t="inlineStr">
        <is>
          <t>RN-3</t>
        </is>
      </c>
    </row>
    <row r="68">
      <c r="A68" s="2" t="inlineStr">
        <is>
          <t>CEPA-015</t>
        </is>
      </c>
      <c r="B68" s="2" t="inlineStr">
        <is>
          <t>AC</t>
        </is>
      </c>
      <c r="C68" s="2" t="inlineStr">
        <is>
          <t>CA-3</t>
        </is>
      </c>
      <c r="D68" s="2" t="inlineStr">
        <is>
          <t>Dada una ODA existente, cuando se registra una ODA actualizada, se conserva el historial y se refleja la vigente</t>
        </is>
      </c>
      <c r="E68" s="2" t="inlineStr">
        <is>
          <t>TC-CEPA-015-003</t>
        </is>
      </c>
      <c r="F68" s="2" t="inlineStr">
        <is>
          <t>RN-5</t>
        </is>
      </c>
    </row>
    <row r="69">
      <c r="A69" s="2" t="inlineStr">
        <is>
          <t>CEPA-015</t>
        </is>
      </c>
      <c r="B69" s="2" t="inlineStr">
        <is>
          <t>BR</t>
        </is>
      </c>
      <c r="C69" s="2" t="inlineStr">
        <is>
          <t>RN-2</t>
        </is>
      </c>
      <c r="D69" s="2" t="inlineStr">
        <is>
          <t>Cada ODA registra al menos documento/identificador y fecha de vencimiento, vinculada al folio del paciente</t>
        </is>
      </c>
      <c r="E69" s="2" t="inlineStr">
        <is>
          <t>TC-CEPA-015-004</t>
        </is>
      </c>
      <c r="F69" s="2" t="inlineStr">
        <is>
          <t>RN-2</t>
        </is>
      </c>
    </row>
    <row r="70">
      <c r="A70" s="2" t="inlineStr">
        <is>
          <t>CEPA-015</t>
        </is>
      </c>
      <c r="B70" s="2" t="inlineStr">
        <is>
          <t>BR</t>
        </is>
      </c>
      <c r="C70" s="2" t="inlineStr">
        <is>
          <t>RN-4</t>
        </is>
      </c>
      <c r="D70" s="2" t="inlineStr">
        <is>
          <t>El reporte de ODAS vencidas queda fuera de esta historia (corresponde a EPIC-09)</t>
        </is>
      </c>
      <c r="E70" s="2" t="inlineStr">
        <is>
          <t>TC-CEPA-015-005</t>
        </is>
      </c>
      <c r="F70" s="2" t="inlineStr">
        <is>
          <t>RN-3, RN-4</t>
        </is>
      </c>
    </row>
    <row r="71">
      <c r="A71" s="2" t="inlineStr">
        <is>
          <t>CEPA-015</t>
        </is>
      </c>
      <c r="B71" s="2" t="inlineStr">
        <is>
          <t>TC</t>
        </is>
      </c>
      <c r="C71" s="2" t="inlineStr">
        <is>
          <t>TC-015-03</t>
        </is>
      </c>
      <c r="D71" s="2" t="inlineStr">
        <is>
          <t>ODA que vence hoy; alerta generada en el límite de vigencia</t>
        </is>
      </c>
      <c r="E71" s="2" t="inlineStr">
        <is>
          <t>TC-CEPA-015-006</t>
        </is>
      </c>
      <c r="F71" s="2" t="inlineStr">
        <is>
          <t>RN-3</t>
        </is>
      </c>
    </row>
    <row r="72">
      <c r="A72" s="2" t="inlineStr">
        <is>
          <t>CEPA-015</t>
        </is>
      </c>
      <c r="B72" s="2" t="inlineStr">
        <is>
          <t>TC</t>
        </is>
      </c>
      <c r="C72" s="2" t="inlineStr">
        <is>
          <t>TC-015-06</t>
        </is>
      </c>
      <c r="D72" s="2" t="inlineStr">
        <is>
          <t>Usuario perfil Auditor intenta registrar/editar ODA; acceso denegado</t>
        </is>
      </c>
      <c r="E72" s="2" t="inlineStr">
        <is>
          <t>TC-CEPA-015-007</t>
        </is>
      </c>
      <c r="F72" s="2" t="inlineStr"/>
    </row>
    <row r="73">
      <c r="A73" s="2" t="inlineStr">
        <is>
          <t>CEPA-016</t>
        </is>
      </c>
      <c r="B73" s="2" t="inlineStr">
        <is>
          <t>AC</t>
        </is>
      </c>
      <c r="C73" s="2" t="inlineStr">
        <is>
          <t>CA-1</t>
        </is>
      </c>
      <c r="D73" s="2" t="inlineStr">
        <is>
          <t>Dado un ingreso sin consentimiento firmado, cuando se intenta iniciar tratamiento, el sistema bloquea e indica obligatoriedad</t>
        </is>
      </c>
      <c r="E73" s="2" t="inlineStr">
        <is>
          <t>TC-CEPA-016-001</t>
        </is>
      </c>
      <c r="F73" s="2" t="inlineStr">
        <is>
          <t>RN-1, RN-2</t>
        </is>
      </c>
    </row>
    <row r="74">
      <c r="A74" s="2" t="inlineStr">
        <is>
          <t>CEPA-016</t>
        </is>
      </c>
      <c r="B74" s="2" t="inlineStr">
        <is>
          <t>AC</t>
        </is>
      </c>
      <c r="C74" s="2" t="inlineStr">
        <is>
          <t>CA-2</t>
        </is>
      </c>
      <c r="D74" s="2" t="inlineStr">
        <is>
          <t>Dado un ingreso con consentimiento firmado, cuando se inicia tratamiento, el validador marca cumplido y permite continuar</t>
        </is>
      </c>
      <c r="E74" s="2" t="inlineStr">
        <is>
          <t>TC-CEPA-016-002</t>
        </is>
      </c>
      <c r="F74" s="2" t="inlineStr">
        <is>
          <t>RN-1, RN-2</t>
        </is>
      </c>
    </row>
    <row r="75">
      <c r="A75" s="2" t="inlineStr">
        <is>
          <t>CEPA-016</t>
        </is>
      </c>
      <c r="B75" s="2" t="inlineStr">
        <is>
          <t>AC</t>
        </is>
      </c>
      <c r="C75" s="2" t="inlineStr">
        <is>
          <t>CA-3</t>
        </is>
      </c>
      <c r="D75" s="2" t="inlineStr">
        <is>
          <t>Dado un ingreso con consentimiento pendiente, cuando corren las alertas de protocolo, se genera alerta de consentimiento pendiente</t>
        </is>
      </c>
      <c r="E75" s="2" t="inlineStr">
        <is>
          <t>TC-CEPA-016-003</t>
        </is>
      </c>
      <c r="F75" s="2" t="inlineStr">
        <is>
          <t>RN-3</t>
        </is>
      </c>
    </row>
    <row r="76">
      <c r="A76" s="2" t="inlineStr">
        <is>
          <t>CEPA-016</t>
        </is>
      </c>
      <c r="B76" s="2" t="inlineStr">
        <is>
          <t>AC</t>
        </is>
      </c>
      <c r="C76" s="2" t="inlineStr">
        <is>
          <t>CA-4</t>
        </is>
      </c>
      <c r="D76" s="2" t="inlineStr">
        <is>
          <t>Dado el formulario de consentimiento, cuando se registra el estado, el sistema permite indicar/adjuntar la evidencia según el mecanismo definido</t>
        </is>
      </c>
      <c r="E76" s="2" t="inlineStr">
        <is>
          <t>TC-CEPA-016-004</t>
        </is>
      </c>
      <c r="F76" s="2" t="inlineStr">
        <is>
          <t>RN-4</t>
        </is>
      </c>
    </row>
    <row r="77">
      <c r="A77" s="2" t="inlineStr">
        <is>
          <t>CEPA-016</t>
        </is>
      </c>
      <c r="B77" s="2" t="inlineStr">
        <is>
          <t>BR</t>
        </is>
      </c>
      <c r="C77" s="2" t="inlineStr">
        <is>
          <t>RN-5</t>
        </is>
      </c>
      <c r="D77" s="2" t="inlineStr">
        <is>
          <t>El estado del consentimiento y su evidencia quedan en el log de auditoría</t>
        </is>
      </c>
      <c r="E77" s="2" t="inlineStr">
        <is>
          <t>TC-CEPA-016-005</t>
        </is>
      </c>
      <c r="F77" s="2" t="inlineStr">
        <is>
          <t>RN-5</t>
        </is>
      </c>
    </row>
    <row r="78">
      <c r="A78" s="2" t="inlineStr">
        <is>
          <t>CEPA-016</t>
        </is>
      </c>
      <c r="B78" s="2" t="inlineStr">
        <is>
          <t>TC</t>
        </is>
      </c>
      <c r="C78" s="2" t="inlineStr">
        <is>
          <t>TC-016-04</t>
        </is>
      </c>
      <c r="D78" s="2" t="inlineStr">
        <is>
          <t>Consentimiento marcado firmado sin evidencia adjunta; comportamiento según mecanismo definido (nota D9)</t>
        </is>
      </c>
      <c r="E78" s="2" t="inlineStr">
        <is>
          <t>TC-CEPA-016-006</t>
        </is>
      </c>
      <c r="F78" s="2" t="inlineStr">
        <is>
          <t>RN-4</t>
        </is>
      </c>
    </row>
    <row r="79">
      <c r="A79" s="2" t="inlineStr">
        <is>
          <t>CEPA-016</t>
        </is>
      </c>
      <c r="B79" s="2" t="inlineStr">
        <is>
          <t>TC</t>
        </is>
      </c>
      <c r="C79" s="2" t="inlineStr">
        <is>
          <t>TC-016-05</t>
        </is>
      </c>
      <c r="D79" s="2" t="inlineStr">
        <is>
          <t>Usuario perfil Auditor intenta cambiar estado de consentimiento; acceso denegado (solo lectura)</t>
        </is>
      </c>
      <c r="E79" s="2" t="inlineStr">
        <is>
          <t>TC-CEPA-016-007</t>
        </is>
      </c>
      <c r="F79" s="2" t="inlineStr"/>
    </row>
    <row r="80">
      <c r="A80" s="2" t="inlineStr">
        <is>
          <t>CEPA-020</t>
        </is>
      </c>
      <c r="B80" s="2" t="inlineStr">
        <is>
          <t>AC</t>
        </is>
      </c>
      <c r="C80" s="2" t="inlineStr">
        <is>
          <t>CA-1</t>
        </is>
      </c>
      <c r="D80" s="2" t="inlineStr">
        <is>
          <t>Dado formulario de nuevo registro farmacológico, cuando selecciona un folio existente, entonces el sistema pre-llena los datos básicos heredados y permite confirmarlos.</t>
        </is>
      </c>
      <c r="E80" s="2" t="inlineStr">
        <is>
          <t>TC-CEPA-020-001</t>
        </is>
      </c>
      <c r="F80" s="2" t="inlineStr">
        <is>
          <t>RN-1, RN-2</t>
        </is>
      </c>
    </row>
    <row r="81">
      <c r="A81" s="2" t="inlineStr">
        <is>
          <t>CEPA-020</t>
        </is>
      </c>
      <c r="B81" s="2" t="inlineStr">
        <is>
          <t>AC</t>
        </is>
      </c>
      <c r="C81" s="2" t="inlineStr">
        <is>
          <t>CA-2</t>
        </is>
      </c>
      <c r="D81" s="2" t="inlineStr">
        <is>
          <t>Dado que completa médico tratante y estado del caso, cuando guarda, entonces el registro queda vinculado al folio y visible desde Ingresos.</t>
        </is>
      </c>
      <c r="E81" s="2" t="inlineStr">
        <is>
          <t>TC-CEPA-020-002</t>
        </is>
      </c>
      <c r="F81" s="2" t="inlineStr">
        <is>
          <t>RN-1, RN-3</t>
        </is>
      </c>
    </row>
    <row r="82">
      <c r="A82" s="2" t="inlineStr">
        <is>
          <t>CEPA-020</t>
        </is>
      </c>
      <c r="B82" s="2" t="inlineStr">
        <is>
          <t>AC</t>
        </is>
      </c>
      <c r="C82" s="2" t="inlineStr">
        <is>
          <t>CA-3</t>
        </is>
      </c>
      <c r="D82" s="2" t="inlineStr">
        <is>
          <t>Dado que intenta crear un registro sin folio asociado, cuando hace clic en guardar, entonces el sistema muestra error de campo obligatorio sin perder los datos ingresados.</t>
        </is>
      </c>
      <c r="E82" s="2" t="inlineStr">
        <is>
          <t>TC-CEPA-020-003</t>
        </is>
      </c>
      <c r="F82" s="2" t="inlineStr">
        <is>
          <t>RN-1</t>
        </is>
      </c>
    </row>
    <row r="83">
      <c r="A83" s="2" t="inlineStr">
        <is>
          <t>CEPA-020</t>
        </is>
      </c>
      <c r="B83" s="2" t="inlineStr">
        <is>
          <t>BR</t>
        </is>
      </c>
      <c r="C83" s="2" t="inlineStr">
        <is>
          <t>RN-3</t>
        </is>
      </c>
      <c r="D83" s="2" t="inlineStr">
        <is>
          <t>Médico tratante asignado y estado del caso farmacológico son campos obligatorios.</t>
        </is>
      </c>
      <c r="E83" s="2" t="inlineStr">
        <is>
          <t>TC-CEPA-020-004</t>
        </is>
      </c>
      <c r="F83" s="2" t="inlineStr">
        <is>
          <t>RN-3</t>
        </is>
      </c>
    </row>
    <row r="84">
      <c r="A84" s="2" t="inlineStr">
        <is>
          <t>CEPA-020</t>
        </is>
      </c>
      <c r="B84" s="2" t="inlineStr">
        <is>
          <t>BR</t>
        </is>
      </c>
      <c r="C84" s="2" t="inlineStr">
        <is>
          <t>RN-4</t>
        </is>
      </c>
      <c r="D84" s="2" t="inlineStr">
        <is>
          <t>Un folio puede tener a lo sumo un registro farmacológico activo; un reingreso con el mismo folio reutiliza/reactiva el registro asociado.</t>
        </is>
      </c>
      <c r="E84" s="2" t="inlineStr">
        <is>
          <t>TC-CEPA-020-005</t>
        </is>
      </c>
      <c r="F84" s="2" t="inlineStr">
        <is>
          <t>RN-4</t>
        </is>
      </c>
    </row>
    <row r="85">
      <c r="A85" s="2" t="inlineStr">
        <is>
          <t>CEPA-020</t>
        </is>
      </c>
      <c r="B85" s="2" t="inlineStr">
        <is>
          <t>BR</t>
        </is>
      </c>
      <c r="C85" s="2" t="inlineStr">
        <is>
          <t>RN-5</t>
        </is>
      </c>
      <c r="D85" s="2" t="inlineStr">
        <is>
          <t>RBAC — solo Administrativo (y Coordinación) puede crear/editar; Auditor solo lectura; el perfil Clínico no existe (D1).</t>
        </is>
      </c>
      <c r="E85" s="2" t="inlineStr">
        <is>
          <t>TC-CEPA-020-006</t>
        </is>
      </c>
      <c r="F85" s="2" t="inlineStr">
        <is>
          <t>RN-5</t>
        </is>
      </c>
    </row>
    <row r="86">
      <c r="A86" s="2" t="inlineStr">
        <is>
          <t>CEPA-020</t>
        </is>
      </c>
      <c r="B86" s="2" t="inlineStr">
        <is>
          <t>BR</t>
        </is>
      </c>
      <c r="C86" s="2" t="inlineStr">
        <is>
          <t>RN-6</t>
        </is>
      </c>
      <c r="D86" s="2" t="inlineStr">
        <is>
          <t>Toda operación CRUD queda registrada en el log de auditoría (quién, qué, cuándo).</t>
        </is>
      </c>
      <c r="E86" s="2" t="inlineStr">
        <is>
          <t>TC-CEPA-020-007</t>
        </is>
      </c>
      <c r="F86" s="2" t="inlineStr">
        <is>
          <t>RN-6</t>
        </is>
      </c>
    </row>
    <row r="87">
      <c r="A87" s="2" t="inlineStr">
        <is>
          <t>CEPA-020</t>
        </is>
      </c>
      <c r="B87" s="2" t="inlineStr">
        <is>
          <t>PLANILLA</t>
        </is>
      </c>
      <c r="C87" s="2" t="inlineStr">
        <is>
          <t>Gestión de Fármacos</t>
        </is>
      </c>
      <c r="D87" s="2" t="inlineStr">
        <is>
          <t>Hoja 'Gestión de Fármacos' (21 columnas): columnas base Folio, Mes, Región de derivación, Fecha Ingreso, Nombre del paciente, Rut, Médico Tratante, Estado.</t>
        </is>
      </c>
      <c r="E87" s="2" t="inlineStr">
        <is>
          <t>TC-CEPA-020-008</t>
        </is>
      </c>
      <c r="F87" s="2" t="inlineStr">
        <is>
          <t>RN-2, RN-3</t>
        </is>
      </c>
    </row>
    <row r="88">
      <c r="A88" s="2" t="inlineStr">
        <is>
          <t>CEPA-021</t>
        </is>
      </c>
      <c r="B88" s="2" t="inlineStr">
        <is>
          <t>AC</t>
        </is>
      </c>
      <c r="C88" s="2" t="inlineStr">
        <is>
          <t>CA-1</t>
        </is>
      </c>
      <c r="D88" s="2" t="inlineStr">
        <is>
          <t>Dado el registro farmacológico de un folio, cuando ingresa antecedentes previos de SM y tratamiento previo, entonces el sistema guarda el historial estructurado vinculado al folio.</t>
        </is>
      </c>
      <c r="E88" s="2" t="inlineStr">
        <is>
          <t>TC-CEPA-021-001</t>
        </is>
      </c>
      <c r="F88" s="2" t="inlineStr">
        <is>
          <t>RN-4</t>
        </is>
      </c>
    </row>
    <row r="89">
      <c r="A89" s="2" t="inlineStr">
        <is>
          <t>CEPA-021</t>
        </is>
      </c>
      <c r="B89" s="2" t="inlineStr">
        <is>
          <t>AC</t>
        </is>
      </c>
      <c r="C89" s="2" t="inlineStr">
        <is>
          <t>CA-2</t>
        </is>
      </c>
      <c r="D89" s="2" t="inlineStr">
        <is>
          <t>Dado que registra una indicación actual, cuando especifica medicamento, dosis y frecuencia y guarda, entonces se crea una entrada del esquema farmacológico vigente.</t>
        </is>
      </c>
      <c r="E89" s="2" t="inlineStr">
        <is>
          <t>TC-CEPA-021-002</t>
        </is>
      </c>
      <c r="F89" s="2" t="inlineStr">
        <is>
          <t>RN-1</t>
        </is>
      </c>
    </row>
    <row r="90">
      <c r="A90" s="2" t="inlineStr">
        <is>
          <t>CEPA-021</t>
        </is>
      </c>
      <c r="B90" s="2" t="inlineStr">
        <is>
          <t>AC</t>
        </is>
      </c>
      <c r="C90" s="2" t="inlineStr">
        <is>
          <t>CA-3</t>
        </is>
      </c>
      <c r="D90" s="2" t="inlineStr">
        <is>
          <t>Dado un medicamento fuera del catálogo, cuando se marca como fármaco extra-sistema y guarda, entonces el sistema acepta el registro y lo identifica como extra-sistema.</t>
        </is>
      </c>
      <c r="E90" s="2" t="inlineStr">
        <is>
          <t>TC-CEPA-021-003</t>
        </is>
      </c>
      <c r="F90" s="2" t="inlineStr">
        <is>
          <t>RN-3</t>
        </is>
      </c>
    </row>
    <row r="91">
      <c r="A91" s="2" t="inlineStr">
        <is>
          <t>CEPA-021</t>
        </is>
      </c>
      <c r="B91" s="2" t="inlineStr">
        <is>
          <t>BR</t>
        </is>
      </c>
      <c r="C91" s="2" t="inlineStr">
        <is>
          <t>RN-1</t>
        </is>
      </c>
      <c r="D91" s="2" t="inlineStr">
        <is>
          <t>Cada entrada de indicación actual del esquema requiere medicamento, dosis y frecuencia.</t>
        </is>
      </c>
      <c r="E91" s="2" t="inlineStr">
        <is>
          <t>TC-CEPA-021-004</t>
        </is>
      </c>
      <c r="F91" s="2" t="inlineStr">
        <is>
          <t>RN-1</t>
        </is>
      </c>
    </row>
    <row r="92">
      <c r="A92" s="2" t="inlineStr">
        <is>
          <t>CEPA-021</t>
        </is>
      </c>
      <c r="B92" s="2" t="inlineStr">
        <is>
          <t>BR</t>
        </is>
      </c>
      <c r="C92" s="2" t="inlineStr">
        <is>
          <t>RN-2</t>
        </is>
      </c>
      <c r="D92" s="2" t="inlineStr">
        <is>
          <t>El esquema es versionable: una nueva indicación no borra la anterior, se mantiene el historial completo por folio.</t>
        </is>
      </c>
      <c r="E92" s="2" t="inlineStr">
        <is>
          <t>TC-CEPA-021-005</t>
        </is>
      </c>
      <c r="F92" s="2" t="inlineStr">
        <is>
          <t>RN-2</t>
        </is>
      </c>
    </row>
    <row r="93">
      <c r="A93" s="2" t="inlineStr">
        <is>
          <t>CEPA-021</t>
        </is>
      </c>
      <c r="B93" s="2" t="inlineStr">
        <is>
          <t>BR</t>
        </is>
      </c>
      <c r="C93" s="2" t="inlineStr">
        <is>
          <t>RN-5</t>
        </is>
      </c>
      <c r="D93" s="2" t="inlineStr">
        <is>
          <t>RBAC — Administrativo/Coordinación editan; Auditor solo lectura.</t>
        </is>
      </c>
      <c r="E93" s="2" t="inlineStr">
        <is>
          <t>TC-CEPA-021-006</t>
        </is>
      </c>
      <c r="F93" s="2" t="inlineStr">
        <is>
          <t>RN-5</t>
        </is>
      </c>
    </row>
    <row r="94">
      <c r="A94" s="2" t="inlineStr">
        <is>
          <t>CEPA-021</t>
        </is>
      </c>
      <c r="B94" s="2" t="inlineStr">
        <is>
          <t>BR</t>
        </is>
      </c>
      <c r="C94" s="2" t="inlineStr">
        <is>
          <t>RN-6</t>
        </is>
      </c>
      <c r="D94" s="2" t="inlineStr">
        <is>
          <t>Operaciones CRUD registradas en log de auditoría.</t>
        </is>
      </c>
      <c r="E94" s="2" t="inlineStr">
        <is>
          <t>TC-CEPA-021-007</t>
        </is>
      </c>
      <c r="F94" s="2" t="inlineStr">
        <is>
          <t>RN-6</t>
        </is>
      </c>
    </row>
    <row r="95">
      <c r="A95" s="2" t="inlineStr">
        <is>
          <t>CEPA-022</t>
        </is>
      </c>
      <c r="B95" s="2" t="inlineStr">
        <is>
          <t>AC</t>
        </is>
      </c>
      <c r="C95" s="2" t="inlineStr">
        <is>
          <t>CA-1</t>
        </is>
      </c>
      <c r="D95" s="2" t="inlineStr">
        <is>
          <t>Dado que registra una nueva receta, cuando guarda, entonces la receta aparece vinculada al folio y es visible desde el módulo de Ingresos (PRD §7.2.5).</t>
        </is>
      </c>
      <c r="E95" s="2" t="inlineStr">
        <is>
          <t>TC-CEPA-022-001</t>
        </is>
      </c>
      <c r="F95" s="2" t="inlineStr">
        <is>
          <t>RN-1, RN-2</t>
        </is>
      </c>
    </row>
    <row r="96">
      <c r="A96" s="2" t="inlineStr">
        <is>
          <t>CEPA-022</t>
        </is>
      </c>
      <c r="B96" s="2" t="inlineStr">
        <is>
          <t>AC</t>
        </is>
      </c>
      <c r="C96" s="2" t="inlineStr">
        <is>
          <t>CA-2</t>
        </is>
      </c>
      <c r="D96" s="2" t="inlineStr">
        <is>
          <t>Dado receta con fecha de revisión dentro de los próximos 5 días, cuando el sistema ejecuta su proceso de alertas, entonces se genera una alerta visible en el panel del administrativo asignado (PRD §7.2.5, D1).</t>
        </is>
      </c>
      <c r="E96" s="2" t="inlineStr">
        <is>
          <t>TC-CEPA-022-002</t>
        </is>
      </c>
      <c r="F96" s="2" t="inlineStr">
        <is>
          <t>RN-3, RN-4</t>
        </is>
      </c>
    </row>
    <row r="97">
      <c r="A97" s="2" t="inlineStr">
        <is>
          <t>CEPA-022</t>
        </is>
      </c>
      <c r="B97" s="2" t="inlineStr">
        <is>
          <t>BR</t>
        </is>
      </c>
      <c r="C97" s="2" t="inlineStr">
        <is>
          <t>RN-3</t>
        </is>
      </c>
      <c r="D97" s="2" t="inlineStr">
        <is>
          <t>El proceso genera alerta cuando fecha_revisión está dentro de los próximos 5 días respecto de la fecha de ejecución.</t>
        </is>
      </c>
      <c r="E97" s="2" t="inlineStr">
        <is>
          <t>TC-CEPA-022-003</t>
        </is>
      </c>
      <c r="F97" s="2" t="inlineStr">
        <is>
          <t>RN-3</t>
        </is>
      </c>
    </row>
    <row r="98">
      <c r="A98" s="2" t="inlineStr">
        <is>
          <t>CEPA-022</t>
        </is>
      </c>
      <c r="B98" s="2" t="inlineStr">
        <is>
          <t>BR</t>
        </is>
      </c>
      <c r="C98" s="2" t="inlineStr">
        <is>
          <t>RN-4</t>
        </is>
      </c>
      <c r="D98" s="2" t="inlineStr">
        <is>
          <t>Redirección de alerta (D1): la alerta se dirige al administrativo asignado (in-app; correo solo para alertas según D12); el médico tratante es dato informativo sin notificación.</t>
        </is>
      </c>
      <c r="E98" s="2" t="inlineStr">
        <is>
          <t>TC-CEPA-022-004</t>
        </is>
      </c>
      <c r="F98" s="2" t="inlineStr">
        <is>
          <t>RN-4</t>
        </is>
      </c>
    </row>
    <row r="99">
      <c r="A99" s="2" t="inlineStr">
        <is>
          <t>CEPA-022</t>
        </is>
      </c>
      <c r="B99" s="2" t="inlineStr">
        <is>
          <t>BR</t>
        </is>
      </c>
      <c r="C99" s="2" t="inlineStr">
        <is>
          <t>RN-5</t>
        </is>
      </c>
      <c r="D99" s="2" t="inlineStr">
        <is>
          <t>Fecha de revisión no puede ser anterior a la fecha de emisión; fecha de envío no anterior a la emisión.</t>
        </is>
      </c>
      <c r="E99" s="2" t="inlineStr">
        <is>
          <t>TC-CEPA-022-005</t>
        </is>
      </c>
      <c r="F99" s="2" t="inlineStr">
        <is>
          <t>RN-5, RN-1</t>
        </is>
      </c>
    </row>
    <row r="100">
      <c r="A100" s="2" t="inlineStr">
        <is>
          <t>CEPA-022</t>
        </is>
      </c>
      <c r="B100" s="2" t="inlineStr">
        <is>
          <t>BR</t>
        </is>
      </c>
      <c r="C100" s="2" t="inlineStr">
        <is>
          <t>RN-6</t>
        </is>
      </c>
      <c r="D100" s="2" t="inlineStr">
        <is>
          <t>RBAC — Administrativo/Coordinación gestionan recetas; Auditor solo lectura.</t>
        </is>
      </c>
      <c r="E100" s="2" t="inlineStr">
        <is>
          <t>TC-CEPA-022-006</t>
        </is>
      </c>
      <c r="F100" s="2" t="inlineStr">
        <is>
          <t>RN-6</t>
        </is>
      </c>
    </row>
    <row r="101">
      <c r="A101" s="2" t="inlineStr">
        <is>
          <t>CEPA-022</t>
        </is>
      </c>
      <c r="B101" s="2" t="inlineStr">
        <is>
          <t>BR</t>
        </is>
      </c>
      <c r="C101" s="2" t="inlineStr">
        <is>
          <t>RN-7</t>
        </is>
      </c>
      <c r="D101" s="2" t="inlineStr">
        <is>
          <t>Operaciones CRUD registradas en log de auditoría.</t>
        </is>
      </c>
      <c r="E101" s="2" t="inlineStr">
        <is>
          <t>TC-CEPA-022-007</t>
        </is>
      </c>
      <c r="F101" s="2" t="inlineStr">
        <is>
          <t>RN-7</t>
        </is>
      </c>
    </row>
    <row r="102">
      <c r="A102" s="2" t="inlineStr">
        <is>
          <t>CEPA-022</t>
        </is>
      </c>
      <c r="B102" s="2" t="inlineStr">
        <is>
          <t>PLANILLA</t>
        </is>
      </c>
      <c r="C102" s="2" t="inlineStr">
        <is>
          <t>Gestión de Fármacos</t>
        </is>
      </c>
      <c r="D102" s="2" t="inlineStr">
        <is>
          <t>Hoja 'Gestión de Fármacos': columnas ANTECEDENTES PREVIOS DE SM, TRATAMIENTO FARMACOLÓGICO PREVIO, INDICACIÓN FARMACOLÓGICA ACTUAL, Fecha receta, Fecha Revisión Receta, Fecha Envío Receta (Ahumada), Fecha Gestión Receta (Socorro) 1-3, MARCA.</t>
        </is>
      </c>
      <c r="E102" s="2" t="inlineStr">
        <is>
          <t>TC-CEPA-022-008</t>
        </is>
      </c>
      <c r="F102" s="2" t="inlineStr">
        <is>
          <t>RN-1</t>
        </is>
      </c>
    </row>
    <row r="103">
      <c r="A103" s="2" t="inlineStr">
        <is>
          <t>CEPA-023</t>
        </is>
      </c>
      <c r="B103" s="2" t="inlineStr">
        <is>
          <t>AC</t>
        </is>
      </c>
      <c r="C103" s="2" t="inlineStr">
        <is>
          <t>CA-1</t>
        </is>
      </c>
      <c r="D103" s="2" t="inlineStr">
        <is>
          <t>Dado que marca 'disminución de fármacos = Sí', cuando guarda, entonces el sistema exige el detalle del plan de disminución antes de confirmar.</t>
        </is>
      </c>
      <c r="E103" s="2" t="inlineStr">
        <is>
          <t>TC-CEPA-023-001</t>
        </is>
      </c>
      <c r="F103" s="2" t="inlineStr">
        <is>
          <t>RN-1</t>
        </is>
      </c>
    </row>
    <row r="104">
      <c r="A104" s="2" t="inlineStr">
        <is>
          <t>CEPA-023</t>
        </is>
      </c>
      <c r="B104" s="2" t="inlineStr">
        <is>
          <t>AC</t>
        </is>
      </c>
      <c r="C104" s="2" t="inlineStr">
        <is>
          <t>CA-2</t>
        </is>
      </c>
      <c r="D104" s="2" t="inlineStr">
        <is>
          <t>Dado que marca 'cambio de esquema = Sí', cuando guarda, entonces el sistema exige el detalle del nuevo esquema antes de confirmar.</t>
        </is>
      </c>
      <c r="E104" s="2" t="inlineStr">
        <is>
          <t>TC-CEPA-023-002</t>
        </is>
      </c>
      <c r="F104" s="2" t="inlineStr">
        <is>
          <t>RN-2</t>
        </is>
      </c>
    </row>
    <row r="105">
      <c r="A105" s="2" t="inlineStr">
        <is>
          <t>CEPA-023</t>
        </is>
      </c>
      <c r="B105" s="2" t="inlineStr">
        <is>
          <t>AC</t>
        </is>
      </c>
      <c r="C105" s="2" t="inlineStr">
        <is>
          <t>CA-3</t>
        </is>
      </c>
      <c r="D105" s="2" t="inlineStr">
        <is>
          <t>Dado observaciones y banderas en 'No', cuando guarda, entonces el seguimiento queda vinculado al folio y visible desde Ingresos sin exigir detalles adicionales.</t>
        </is>
      </c>
      <c r="E105" s="2" t="inlineStr">
        <is>
          <t>TC-CEPA-023-003</t>
        </is>
      </c>
      <c r="F105" s="2" t="inlineStr">
        <is>
          <t>RN-3, RN-4</t>
        </is>
      </c>
    </row>
    <row r="106">
      <c r="A106" s="2" t="inlineStr">
        <is>
          <t>CEPA-023</t>
        </is>
      </c>
      <c r="B106" s="2" t="inlineStr">
        <is>
          <t>BR</t>
        </is>
      </c>
      <c r="C106" s="2" t="inlineStr">
        <is>
          <t>RN-1</t>
        </is>
      </c>
      <c r="D106" s="2" t="inlineStr">
        <is>
          <t>Si 'disminución de fármacos = Sí', el plan de disminución (texto) es obligatorio (flujo positivo con plan informado, TC-023-01).</t>
        </is>
      </c>
      <c r="E106" s="2" t="inlineStr">
        <is>
          <t>TC-CEPA-023-004</t>
        </is>
      </c>
      <c r="F106" s="2" t="inlineStr">
        <is>
          <t>RN-1, RN-4</t>
        </is>
      </c>
    </row>
    <row r="107">
      <c r="A107" s="2" t="inlineStr">
        <is>
          <t>CEPA-023</t>
        </is>
      </c>
      <c r="B107" s="2" t="inlineStr">
        <is>
          <t>BR</t>
        </is>
      </c>
      <c r="C107" s="2" t="inlineStr">
        <is>
          <t>RN-5</t>
        </is>
      </c>
      <c r="D107" s="2" t="inlineStr">
        <is>
          <t>RBAC — Administrativo/Coordinación editan; Auditor solo lectura.</t>
        </is>
      </c>
      <c r="E107" s="2" t="inlineStr">
        <is>
          <t>TC-CEPA-023-005</t>
        </is>
      </c>
      <c r="F107" s="2" t="inlineStr">
        <is>
          <t>RN-5</t>
        </is>
      </c>
    </row>
    <row r="108">
      <c r="A108" s="2" t="inlineStr">
        <is>
          <t>CEPA-023</t>
        </is>
      </c>
      <c r="B108" s="2" t="inlineStr">
        <is>
          <t>BR</t>
        </is>
      </c>
      <c r="C108" s="2" t="inlineStr">
        <is>
          <t>RN-6</t>
        </is>
      </c>
      <c r="D108" s="2" t="inlineStr">
        <is>
          <t>Operaciones CRUD registradas en log de auditoría.</t>
        </is>
      </c>
      <c r="E108" s="2" t="inlineStr">
        <is>
          <t>TC-CEPA-023-006</t>
        </is>
      </c>
      <c r="F108" s="2" t="inlineStr">
        <is>
          <t>RN-6</t>
        </is>
      </c>
    </row>
    <row r="109">
      <c r="A109" s="2" t="inlineStr">
        <is>
          <t>CEPA-023</t>
        </is>
      </c>
      <c r="B109" s="2" t="inlineStr">
        <is>
          <t>PLANILLA</t>
        </is>
      </c>
      <c r="C109" s="2" t="inlineStr">
        <is>
          <t>Gestión de Fármacos</t>
        </is>
      </c>
      <c r="D109" s="2" t="inlineStr">
        <is>
          <t>Hoja 'Gestión de Fármacos': columnas OBSERVACIONES, DISMINUCION DE FARMACOS SI/NO, CAMBIO DE ESQUEMA SI/NO como catálogos cerrados.</t>
        </is>
      </c>
      <c r="E109" s="2" t="inlineStr">
        <is>
          <t>TC-CEPA-023-007</t>
        </is>
      </c>
      <c r="F109" s="2" t="inlineStr">
        <is>
          <t>RN-1, RN-2, RN-3</t>
        </is>
      </c>
    </row>
    <row r="110">
      <c r="A110" s="2" t="inlineStr">
        <is>
          <t>CEPA-030</t>
        </is>
      </c>
      <c r="B110" s="2" t="inlineStr">
        <is>
          <t>AC</t>
        </is>
      </c>
      <c r="C110" s="2" t="inlineStr">
        <is>
          <t>CA-1</t>
        </is>
      </c>
      <c r="D110" s="2" t="inlineStr">
        <is>
          <t>Dado formulario de nuevo caso EPT, cuando completa obligatorios y guarda, entonces crea el caso, visible en listado/búsquedas y auditado.</t>
        </is>
      </c>
      <c r="E110" s="2" t="inlineStr">
        <is>
          <t>TC-CEPA-030-001</t>
        </is>
      </c>
      <c r="F110" s="2" t="inlineStr">
        <is>
          <t>RN-1, RN-3, RN-7</t>
        </is>
      </c>
    </row>
    <row r="111">
      <c r="A111" s="2" t="inlineStr">
        <is>
          <t>CEPA-030</t>
        </is>
      </c>
      <c r="B111" s="2" t="inlineStr">
        <is>
          <t>AC</t>
        </is>
      </c>
      <c r="C111" s="2" t="inlineStr">
        <is>
          <t>CA-2</t>
        </is>
      </c>
      <c r="D111" s="2" t="inlineStr">
        <is>
          <t>Dado RUT con DV inválido, cuando intenta guardar, entonces error específico, no guarda y conserva demás datos.</t>
        </is>
      </c>
      <c r="E111" s="2" t="inlineStr">
        <is>
          <t>TC-CEPA-030-002</t>
        </is>
      </c>
      <c r="F111" s="2" t="inlineStr">
        <is>
          <t>RN-2</t>
        </is>
      </c>
    </row>
    <row r="112">
      <c r="A112" s="2" t="inlineStr">
        <is>
          <t>CEPA-030</t>
        </is>
      </c>
      <c r="B112" s="2" t="inlineStr">
        <is>
          <t>AC</t>
        </is>
      </c>
      <c r="C112" s="2" t="inlineStr">
        <is>
          <t>CA-3</t>
        </is>
      </c>
      <c r="D112" s="2" t="inlineStr">
        <is>
          <t>Dado datos del empleador, cuando agrega correos de coordinación, entonces permite hasta 2 contactos, valida formato y rechaza el tercero.</t>
        </is>
      </c>
      <c r="E112" s="2" t="inlineStr">
        <is>
          <t>TC-CEPA-030-003</t>
        </is>
      </c>
      <c r="F112" s="2" t="inlineStr">
        <is>
          <t>RN-4</t>
        </is>
      </c>
    </row>
    <row r="113">
      <c r="A113" s="2" t="inlineStr">
        <is>
          <t>CEPA-030</t>
        </is>
      </c>
      <c r="B113" s="2" t="inlineStr">
        <is>
          <t>AC</t>
        </is>
      </c>
      <c r="C113" s="2" t="inlineStr">
        <is>
          <t>CA-4</t>
        </is>
      </c>
      <c r="D113" s="2" t="inlineStr">
        <is>
          <t>Dado 'Corresponde EPT', cuando selecciona 'No', entonces el caso queda 'No corresponde EPT' y se puede cerrar sin datos de gestión.</t>
        </is>
      </c>
      <c r="E113" s="2" t="inlineStr">
        <is>
          <t>TC-CEPA-030-004</t>
        </is>
      </c>
      <c r="F113" s="2" t="inlineStr">
        <is>
          <t>RN-1, RN-5</t>
        </is>
      </c>
    </row>
    <row r="114">
      <c r="A114" s="2" t="inlineStr">
        <is>
          <t>CEPA-030</t>
        </is>
      </c>
      <c r="B114" s="2" t="inlineStr">
        <is>
          <t>AC</t>
        </is>
      </c>
      <c r="C114" s="2" t="inlineStr">
        <is>
          <t>CA-5</t>
        </is>
      </c>
      <c r="D114" s="2" t="inlineStr">
        <is>
          <t>Dado usuario Auditor o Coordinación, cuando abre un caso EPT, entonces visualiza todo en solo lectura sin opciones de edición.</t>
        </is>
      </c>
      <c r="E114" s="2" t="inlineStr">
        <is>
          <t>TC-CEPA-030-005</t>
        </is>
      </c>
      <c r="F114" s="2" t="inlineStr">
        <is>
          <t>RN-6</t>
        </is>
      </c>
    </row>
    <row r="115">
      <c r="A115" s="2" t="inlineStr">
        <is>
          <t>CEPA-030</t>
        </is>
      </c>
      <c r="B115" s="2" t="inlineStr">
        <is>
          <t>BR</t>
        </is>
      </c>
      <c r="C115" s="2" t="inlineStr">
        <is>
          <t>RN-1</t>
        </is>
      </c>
      <c r="D115" s="2" t="inlineStr">
        <is>
          <t>Campos obligatorios del caso: folio, mes, fecha de ingreso, nombre, RUT, región, EISTA, factor de riesgo y 'Corresponde EPT'.</t>
        </is>
      </c>
      <c r="E115" s="2" t="inlineStr">
        <is>
          <t>TC-CEPA-030-006</t>
        </is>
      </c>
      <c r="F115" s="2" t="inlineStr">
        <is>
          <t>RN-1</t>
        </is>
      </c>
    </row>
    <row r="116">
      <c r="A116" s="2" t="inlineStr">
        <is>
          <t>CEPA-030</t>
        </is>
      </c>
      <c r="B116" s="2" t="inlineStr">
        <is>
          <t>BR</t>
        </is>
      </c>
      <c r="C116" s="2" t="inlineStr">
        <is>
          <t>RN-3</t>
        </is>
      </c>
      <c r="D116" s="2" t="inlineStr">
        <is>
          <t>El folio se vincula al folio del paciente/caso del módulo de Ingresos; un caso EPT pertenece a un único folio.</t>
        </is>
      </c>
      <c r="E116" s="2" t="inlineStr">
        <is>
          <t>TC-CEPA-030-007</t>
        </is>
      </c>
      <c r="F116" s="2" t="inlineStr">
        <is>
          <t>RN-3</t>
        </is>
      </c>
    </row>
    <row r="117">
      <c r="A117" s="2" t="inlineStr">
        <is>
          <t>CEPA-030</t>
        </is>
      </c>
      <c r="B117" s="2" t="inlineStr">
        <is>
          <t>BR</t>
        </is>
      </c>
      <c r="C117" s="2" t="inlineStr">
        <is>
          <t>RN-7</t>
        </is>
      </c>
      <c r="D117" s="2" t="inlineStr">
        <is>
          <t>Toda creación/edición de caso EPT se registra en el log de auditoría (quién, qué, cuándo).</t>
        </is>
      </c>
      <c r="E117" s="2" t="inlineStr">
        <is>
          <t>TC-CEPA-030-008</t>
        </is>
      </c>
      <c r="F117" s="2" t="inlineStr">
        <is>
          <t>RN-7</t>
        </is>
      </c>
    </row>
    <row r="118">
      <c r="A118" s="2" t="inlineStr">
        <is>
          <t>CEPA-030</t>
        </is>
      </c>
      <c r="B118" s="2" t="inlineStr">
        <is>
          <t>PLANILLA</t>
        </is>
      </c>
      <c r="C118" s="2" t="inlineStr">
        <is>
          <t>Seguimiento EPT</t>
        </is>
      </c>
      <c r="D118" s="2" t="inlineStr">
        <is>
          <t>Hoja 'Seguimiento EPT' (27 columnas): columnas de identificación del caso y del empleador.</t>
        </is>
      </c>
      <c r="E118" s="2" t="inlineStr">
        <is>
          <t>TC-CEPA-030-009</t>
        </is>
      </c>
      <c r="F118" s="2" t="inlineStr">
        <is>
          <t>RN-1, RN-4</t>
        </is>
      </c>
    </row>
    <row r="119">
      <c r="A119" s="2" t="inlineStr">
        <is>
          <t>CEPA-031</t>
        </is>
      </c>
      <c r="B119" s="2" t="inlineStr">
        <is>
          <t>AC</t>
        </is>
      </c>
      <c r="C119" s="2" t="inlineStr">
        <is>
          <t>CA-1</t>
        </is>
      </c>
      <c r="D119" s="2" t="inlineStr">
        <is>
          <t>Dado caso con Corresponde EPT = Sí, cuando registra plazos de evidencia e insumos, entonces los guarda y muestra en la vista del proceso.</t>
        </is>
      </c>
      <c r="E119" s="2" t="inlineStr">
        <is>
          <t>TC-CEPA-031-001</t>
        </is>
      </c>
      <c r="F119" s="2" t="inlineStr">
        <is>
          <t>RN-1, RN-4</t>
        </is>
      </c>
    </row>
    <row r="120">
      <c r="A120" s="2" t="inlineStr">
        <is>
          <t>CEPA-031</t>
        </is>
      </c>
      <c r="B120" s="2" t="inlineStr">
        <is>
          <t>AC</t>
        </is>
      </c>
      <c r="C120" s="2" t="inlineStr">
        <is>
          <t>CA-2</t>
        </is>
      </c>
      <c r="D120" s="2" t="inlineStr">
        <is>
          <t>Dado caso en gestión, cuando indica testigos Sí y cantidad, entonces exige cantidad ≥ 1; con 'No' deshabilita y deja cantidad en cero.</t>
        </is>
      </c>
      <c r="E120" s="2" t="inlineStr">
        <is>
          <t>TC-CEPA-031-002</t>
        </is>
      </c>
      <c r="F120" s="2" t="inlineStr">
        <is>
          <t>RN-2</t>
        </is>
      </c>
    </row>
    <row r="121">
      <c r="A121" s="2" t="inlineStr">
        <is>
          <t>CEPA-031</t>
        </is>
      </c>
      <c r="B121" s="2" t="inlineStr">
        <is>
          <t>AC</t>
        </is>
      </c>
      <c r="C121" s="2" t="inlineStr">
        <is>
          <t>CA-3</t>
        </is>
      </c>
      <c r="D121" s="2" t="inlineStr">
        <is>
          <t>Dado caso en gestión, cuando registra número de entrevistas, entonces acepta solo enteros ≥ 0 y actualiza el avance.</t>
        </is>
      </c>
      <c r="E121" s="2" t="inlineStr">
        <is>
          <t>TC-CEPA-031-003</t>
        </is>
      </c>
      <c r="F121" s="2" t="inlineStr">
        <is>
          <t>RN-3</t>
        </is>
      </c>
    </row>
    <row r="122">
      <c r="A122" s="2" t="inlineStr">
        <is>
          <t>CEPA-031</t>
        </is>
      </c>
      <c r="B122" s="2" t="inlineStr">
        <is>
          <t>AC</t>
        </is>
      </c>
      <c r="C122" s="2" t="inlineStr">
        <is>
          <t>CA-4</t>
        </is>
      </c>
      <c r="D122" s="2" t="inlineStr">
        <is>
          <t>Dado caso en gestión, cuando registra insumos del EISTA/documentos de incumplimiento y observaciones, entonces guarda vinculado al caso con traza en auditoría.</t>
        </is>
      </c>
      <c r="E122" s="2" t="inlineStr">
        <is>
          <t>TC-CEPA-031-004</t>
        </is>
      </c>
      <c r="F122" s="2" t="inlineStr">
        <is>
          <t>RN-5, RN-7</t>
        </is>
      </c>
    </row>
    <row r="123">
      <c r="A123" s="2" t="inlineStr">
        <is>
          <t>CEPA-031</t>
        </is>
      </c>
      <c r="B123" s="2" t="inlineStr">
        <is>
          <t>AC</t>
        </is>
      </c>
      <c r="C123" s="2" t="inlineStr">
        <is>
          <t>CA-5</t>
        </is>
      </c>
      <c r="D123" s="2" t="inlineStr">
        <is>
          <t>Dado caso con Corresponde EPT = No, cuando intenta abrir la gestión del proceso, entonces no exige datos y muestra el caso como no aplicable.</t>
        </is>
      </c>
      <c r="E123" s="2" t="inlineStr">
        <is>
          <t>TC-CEPA-031-005</t>
        </is>
      </c>
      <c r="F123" s="2" t="inlineStr">
        <is>
          <t>RN-1</t>
        </is>
      </c>
    </row>
    <row r="124">
      <c r="A124" s="2" t="inlineStr">
        <is>
          <t>CEPA-031</t>
        </is>
      </c>
      <c r="B124" s="2" t="inlineStr">
        <is>
          <t>BR</t>
        </is>
      </c>
      <c r="C124" s="2" t="inlineStr">
        <is>
          <t>RN-4</t>
        </is>
      </c>
      <c r="D124" s="2" t="inlineStr">
        <is>
          <t>Los plazos (evidencia del denunciante, insumos de la empresa) son fechas y no pueden ser anteriores a la fecha de ingreso del caso.</t>
        </is>
      </c>
      <c r="E124" s="2" t="inlineStr">
        <is>
          <t>TC-CEPA-031-006</t>
        </is>
      </c>
      <c r="F124" s="2" t="inlineStr">
        <is>
          <t>RN-4</t>
        </is>
      </c>
    </row>
    <row r="125">
      <c r="A125" s="2" t="inlineStr">
        <is>
          <t>CEPA-031</t>
        </is>
      </c>
      <c r="B125" s="2" t="inlineStr">
        <is>
          <t>BR</t>
        </is>
      </c>
      <c r="C125" s="2" t="inlineStr">
        <is>
          <t>RN-6</t>
        </is>
      </c>
      <c r="D125" s="2" t="inlineStr">
        <is>
          <t>Solo Administrativo edita la gestión del proceso; Coordinación y Auditor solo lectura.</t>
        </is>
      </c>
      <c r="E125" s="2" t="inlineStr">
        <is>
          <t>TC-CEPA-031-007</t>
        </is>
      </c>
      <c r="F125" s="2" t="inlineStr">
        <is>
          <t>RN-6</t>
        </is>
      </c>
    </row>
    <row r="126">
      <c r="A126" s="2" t="inlineStr">
        <is>
          <t>CEPA-031</t>
        </is>
      </c>
      <c r="B126" s="2" t="inlineStr">
        <is>
          <t>PLANILLA</t>
        </is>
      </c>
      <c r="C126" s="2" t="inlineStr">
        <is>
          <t>Seguimiento EPT</t>
        </is>
      </c>
      <c r="D126" s="2" t="inlineStr">
        <is>
          <t>Hoja 'Seguimiento EPT': columnas de gestión operativa del proceso (plazos, testigos, insumos, entrevistas, observaciones).</t>
        </is>
      </c>
      <c r="E126" s="2" t="inlineStr">
        <is>
          <t>TC-CEPA-031-008</t>
        </is>
      </c>
      <c r="F126" s="2" t="inlineStr">
        <is>
          <t>RN-2, RN-3, RN-5</t>
        </is>
      </c>
    </row>
    <row r="127">
      <c r="A127" s="2" t="inlineStr">
        <is>
          <t>CEPA-032</t>
        </is>
      </c>
      <c r="B127" s="2" t="inlineStr">
        <is>
          <t>AC</t>
        </is>
      </c>
      <c r="C127" s="2" t="inlineStr">
        <is>
          <t>CA-1</t>
        </is>
      </c>
      <c r="D127" s="2" t="inlineStr">
        <is>
          <t>Dado caso con Corresponde EPT = Sí, cuando registra plazo informe EPT, plazo portal ISL y fecha entrega ISL, entonces guarda y calcula estado de cumplimiento.</t>
        </is>
      </c>
      <c r="E127" s="2" t="inlineStr">
        <is>
          <t>TC-CEPA-032-001</t>
        </is>
      </c>
      <c r="F127" s="2" t="inlineStr">
        <is>
          <t>RN-1, RN-3</t>
        </is>
      </c>
    </row>
    <row r="128">
      <c r="A128" s="2" t="inlineStr">
        <is>
          <t>CEPA-032</t>
        </is>
      </c>
      <c r="B128" s="2" t="inlineStr">
        <is>
          <t>AC</t>
        </is>
      </c>
      <c r="C128" s="2" t="inlineStr">
        <is>
          <t>CA-2</t>
        </is>
      </c>
      <c r="D128" s="2" t="inlineStr">
        <is>
          <t>Dado caso con plazo próximo a vencer, cuando corre la revisión programada, entonces genera alerta in-app para el administrativo asignado (reglas EPIC-10).</t>
        </is>
      </c>
      <c r="E128" s="2" t="inlineStr">
        <is>
          <t>TC-CEPA-032-002</t>
        </is>
      </c>
      <c r="F128" s="2" t="inlineStr">
        <is>
          <t>RN-1, RN-2</t>
        </is>
      </c>
    </row>
    <row r="129">
      <c r="A129" s="2" t="inlineStr">
        <is>
          <t>CEPA-032</t>
        </is>
      </c>
      <c r="B129" s="2" t="inlineStr">
        <is>
          <t>AC</t>
        </is>
      </c>
      <c r="C129" s="2" t="inlineStr">
        <is>
          <t>CA-3</t>
        </is>
      </c>
      <c r="D129" s="2" t="inlineStr">
        <is>
          <t>Dado informe ya enviado, cuando registra fecha de envío y estado 'enviado', entonces marca el plazo cumplido y cesan las alertas del hito.</t>
        </is>
      </c>
      <c r="E129" s="2" t="inlineStr">
        <is>
          <t>TC-CEPA-032-003</t>
        </is>
      </c>
      <c r="F129" s="2" t="inlineStr">
        <is>
          <t>RN-1, RN-4</t>
        </is>
      </c>
    </row>
    <row r="130">
      <c r="A130" s="2" t="inlineStr">
        <is>
          <t>CEPA-032</t>
        </is>
      </c>
      <c r="B130" s="2" t="inlineStr">
        <is>
          <t>AC</t>
        </is>
      </c>
      <c r="C130" s="2" t="inlineStr">
        <is>
          <t>CA-4</t>
        </is>
      </c>
      <c r="D130" s="2" t="inlineStr">
        <is>
          <t>Dado caso con fecha de entrega ISL pasada sin envío, cuando evalúa los plazos, entonces marca 'vencido' y lo expone en el reporte de cumplimiento.</t>
        </is>
      </c>
      <c r="E130" s="2" t="inlineStr">
        <is>
          <t>TC-CEPA-032-004</t>
        </is>
      </c>
      <c r="F130" s="2" t="inlineStr">
        <is>
          <t>RN-1</t>
        </is>
      </c>
    </row>
    <row r="131">
      <c r="A131" s="2" t="inlineStr">
        <is>
          <t>CEPA-032</t>
        </is>
      </c>
      <c r="B131" s="2" t="inlineStr">
        <is>
          <t>AC</t>
        </is>
      </c>
      <c r="C131" s="2" t="inlineStr">
        <is>
          <t>CA-5</t>
        </is>
      </c>
      <c r="D131" s="2" t="inlineStr">
        <is>
          <t>Dado usuario Coordinación o Auditor, cuando consulta plazos y estados, entonces los visualiza en solo lectura sin poder editarlos.</t>
        </is>
      </c>
      <c r="E131" s="2" t="inlineStr">
        <is>
          <t>TC-CEPA-032-005</t>
        </is>
      </c>
      <c r="F131" s="2" t="inlineStr">
        <is>
          <t>RN-6</t>
        </is>
      </c>
    </row>
    <row r="132">
      <c r="A132" s="2" t="inlineStr">
        <is>
          <t>CEPA-032</t>
        </is>
      </c>
      <c r="B132" s="2" t="inlineStr">
        <is>
          <t>BR</t>
        </is>
      </c>
      <c r="C132" s="2" t="inlineStr">
        <is>
          <t>RN-3</t>
        </is>
      </c>
      <c r="D132" s="2" t="inlineStr">
        <is>
          <t>La fecha de entrega ISL no puede ser anterior a la fecha de ingreso del caso ni al plazo de informe EPT.</t>
        </is>
      </c>
      <c r="E132" s="2" t="inlineStr">
        <is>
          <t>TC-CEPA-032-006</t>
        </is>
      </c>
      <c r="F132" s="2" t="inlineStr">
        <is>
          <t>RN-3</t>
        </is>
      </c>
    </row>
    <row r="133">
      <c r="A133" s="2" t="inlineStr">
        <is>
          <t>CEPA-032</t>
        </is>
      </c>
      <c r="B133" s="2" t="inlineStr">
        <is>
          <t>BR</t>
        </is>
      </c>
      <c r="C133" s="2" t="inlineStr">
        <is>
          <t>RN-5</t>
        </is>
      </c>
      <c r="D133" s="2" t="inlineStr">
        <is>
          <t>El cumplimiento de plazos ISL es dato regulatorio: todo cambio de plazo, fecha de envío o estado queda en el log de auditoría.</t>
        </is>
      </c>
      <c r="E133" s="2" t="inlineStr">
        <is>
          <t>TC-CEPA-032-007</t>
        </is>
      </c>
      <c r="F133" s="2" t="inlineStr">
        <is>
          <t>RN-5</t>
        </is>
      </c>
    </row>
    <row r="134">
      <c r="A134" s="2" t="inlineStr">
        <is>
          <t>CEPA-032</t>
        </is>
      </c>
      <c r="B134" s="2" t="inlineStr">
        <is>
          <t>BR</t>
        </is>
      </c>
      <c r="C134" s="2" t="inlineStr">
        <is>
          <t>RN-7</t>
        </is>
      </c>
      <c r="D134" s="2" t="inlineStr">
        <is>
          <t>Los casos con 'Corresponde EPT' = No no generan plazos ni alertas EPT.</t>
        </is>
      </c>
      <c r="E134" s="2" t="inlineStr">
        <is>
          <t>TC-CEPA-032-008</t>
        </is>
      </c>
      <c r="F134" s="2" t="inlineStr">
        <is>
          <t>RN-7</t>
        </is>
      </c>
    </row>
    <row r="135">
      <c r="A135" s="2" t="inlineStr">
        <is>
          <t>CEPA-032</t>
        </is>
      </c>
      <c r="B135" s="2" t="inlineStr">
        <is>
          <t>PLANILLA</t>
        </is>
      </c>
      <c r="C135" s="2" t="inlineStr">
        <is>
          <t>Seguimiento EPT</t>
        </is>
      </c>
      <c r="D135" s="2" t="inlineStr">
        <is>
          <t>Hoja 'Seguimiento EPT': columnas de plazos regulatorios y envío (Plazo Informe EPT, Plazo Portal ISL, Fecha Entrega ISL, Fecha de envío / estado).</t>
        </is>
      </c>
      <c r="E135" s="2" t="inlineStr">
        <is>
          <t>TC-CEPA-032-009</t>
        </is>
      </c>
      <c r="F135" s="2" t="inlineStr">
        <is>
          <t>RN-1, RN-3</t>
        </is>
      </c>
    </row>
    <row r="136">
      <c r="A136" s="2" t="inlineStr">
        <is>
          <t>CEPA-040</t>
        </is>
      </c>
      <c r="B136" s="2" t="inlineStr">
        <is>
          <t>AC</t>
        </is>
      </c>
      <c r="C136" s="2" t="inlineStr">
        <is>
          <t>CA-1</t>
        </is>
      </c>
      <c r="D136" s="2" t="inlineStr">
        <is>
          <t>Dado formulario de nuevo caso, cuando ingresa RUT válido existente, entonces pre-llena datos desde el folio y permite confirmar o actualizar.</t>
        </is>
      </c>
      <c r="E136" s="2" t="inlineStr">
        <is>
          <t>TC-CEPA-040-001</t>
        </is>
      </c>
      <c r="F136" s="2" t="inlineStr">
        <is>
          <t>RN-1, RN-4</t>
        </is>
      </c>
    </row>
    <row r="137">
      <c r="A137" s="2" t="inlineStr">
        <is>
          <t>CEPA-040</t>
        </is>
      </c>
      <c r="B137" s="2" t="inlineStr">
        <is>
          <t>AC</t>
        </is>
      </c>
      <c r="C137" s="2" t="inlineStr">
        <is>
          <t>CA-2</t>
        </is>
      </c>
      <c r="D137" s="2" t="inlineStr">
        <is>
          <t>Dado campos obligatorios completos, cuando guarda, entonces el caso queda vinculado al folio y visible desde Ingresos y gestión de reintegro.</t>
        </is>
      </c>
      <c r="E137" s="2" t="inlineStr">
        <is>
          <t>TC-CEPA-040-002</t>
        </is>
      </c>
      <c r="F137" s="2" t="inlineStr">
        <is>
          <t>RN-1, RN-2</t>
        </is>
      </c>
    </row>
    <row r="138">
      <c r="A138" s="2" t="inlineStr">
        <is>
          <t>CEPA-040</t>
        </is>
      </c>
      <c r="B138" s="2" t="inlineStr">
        <is>
          <t>AC</t>
        </is>
      </c>
      <c r="C138" s="2" t="inlineStr">
        <is>
          <t>CA-3</t>
        </is>
      </c>
      <c r="D138" s="2" t="inlineStr">
        <is>
          <t>Dado RUT con DV inválido, cuando hace clic en guardar, entonces muestra error específico de RUT y conserva el resto de los datos.</t>
        </is>
      </c>
      <c r="E138" s="2" t="inlineStr">
        <is>
          <t>TC-CEPA-040-003</t>
        </is>
      </c>
      <c r="F138" s="2" t="inlineStr">
        <is>
          <t>RN-2</t>
        </is>
      </c>
    </row>
    <row r="139">
      <c r="A139" s="2" t="inlineStr">
        <is>
          <t>CEPA-040</t>
        </is>
      </c>
      <c r="B139" s="2" t="inlineStr">
        <is>
          <t>AC</t>
        </is>
      </c>
      <c r="C139" s="2" t="inlineStr">
        <is>
          <t>CA-4</t>
        </is>
      </c>
      <c r="D139" s="2" t="inlineStr">
        <is>
          <t>Dado que selecciona tipo de derivación, cuando abre la lista, entonces solo se ofrecen los valores reales de D4 y 'convenio SOCORRO' no aparece.</t>
        </is>
      </c>
      <c r="E139" s="2" t="inlineStr">
        <is>
          <t>TC-CEPA-040-004</t>
        </is>
      </c>
      <c r="F139" s="2" t="inlineStr">
        <is>
          <t>RN-3</t>
        </is>
      </c>
    </row>
    <row r="140">
      <c r="A140" s="2" t="inlineStr">
        <is>
          <t>CEPA-040</t>
        </is>
      </c>
      <c r="B140" s="2" t="inlineStr">
        <is>
          <t>BR</t>
        </is>
      </c>
      <c r="C140" s="2" t="inlineStr">
        <is>
          <t>RN-1</t>
        </is>
      </c>
      <c r="D140" s="2" t="inlineStr">
        <is>
          <t>El folio es la clave de vinculación con Ingresos; un caso de reintegro siempre pertenece a un folio existente o a un reingreso que mantiene el folio anterior (D2).</t>
        </is>
      </c>
      <c r="E140" s="2" t="inlineStr">
        <is>
          <t>TC-CEPA-040-005</t>
        </is>
      </c>
      <c r="F140" s="2" t="inlineStr">
        <is>
          <t>RN-1</t>
        </is>
      </c>
    </row>
    <row r="141">
      <c r="A141" s="2" t="inlineStr">
        <is>
          <t>CEPA-040</t>
        </is>
      </c>
      <c r="B141" s="2" t="inlineStr">
        <is>
          <t>BR</t>
        </is>
      </c>
      <c r="C141" s="2" t="inlineStr">
        <is>
          <t>RN-2</t>
        </is>
      </c>
      <c r="D141" s="2" t="inlineStr">
        <is>
          <t>RUT obligatorio y validado por DV; folio, tipo de derivación, fecha, nombre y región son obligatorios (D6).</t>
        </is>
      </c>
      <c r="E141" s="2" t="inlineStr">
        <is>
          <t>TC-CEPA-040-006</t>
        </is>
      </c>
      <c r="F141" s="2" t="inlineStr">
        <is>
          <t>RN-2</t>
        </is>
      </c>
    </row>
    <row r="142">
      <c r="A142" s="2" t="inlineStr">
        <is>
          <t>CEPA-040</t>
        </is>
      </c>
      <c r="B142" s="2" t="inlineStr">
        <is>
          <t>BR</t>
        </is>
      </c>
      <c r="C142" s="2" t="inlineStr">
        <is>
          <t>RN-4</t>
        </is>
      </c>
      <c r="D142" s="2" t="inlineStr">
        <is>
          <t>Sexo, edad/tramo etario y zona geográfica (región, comuna) son obligatorios para datos limpios y comparables (D5/D6) y alimentan los filtros del dashboard.</t>
        </is>
      </c>
      <c r="E142" s="2" t="inlineStr">
        <is>
          <t>TC-CEPA-040-007</t>
        </is>
      </c>
      <c r="F142" s="2" t="inlineStr">
        <is>
          <t>RN-2, RN-4</t>
        </is>
      </c>
    </row>
    <row r="143">
      <c r="A143" s="2" t="inlineStr">
        <is>
          <t>CEPA-040</t>
        </is>
      </c>
      <c r="B143" s="2" t="inlineStr">
        <is>
          <t>BR</t>
        </is>
      </c>
      <c r="C143" s="2" t="inlineStr">
        <is>
          <t>RN-5</t>
        </is>
      </c>
      <c r="D143" s="2" t="inlineStr">
        <is>
          <t>Toda operación de creación/edición se registra en el log de auditoría (quién, qué, cuándo).</t>
        </is>
      </c>
      <c r="E143" s="2" t="inlineStr">
        <is>
          <t>TC-CEPA-040-008</t>
        </is>
      </c>
      <c r="F143" s="2" t="inlineStr">
        <is>
          <t>RN-5</t>
        </is>
      </c>
    </row>
    <row r="144">
      <c r="A144" s="2" t="inlineStr">
        <is>
          <t>CEPA-040</t>
        </is>
      </c>
      <c r="B144" s="2" t="inlineStr">
        <is>
          <t>BR</t>
        </is>
      </c>
      <c r="C144" s="2" t="inlineStr">
        <is>
          <t>RN-6</t>
        </is>
      </c>
      <c r="D144" s="2" t="inlineStr">
        <is>
          <t>Solo Administrativo y Coordinación pueden crear/editar; Auditor solo lectura.</t>
        </is>
      </c>
      <c r="E144" s="2" t="inlineStr">
        <is>
          <t>TC-CEPA-040-009</t>
        </is>
      </c>
      <c r="F144" s="2" t="inlineStr">
        <is>
          <t>RN-6</t>
        </is>
      </c>
    </row>
    <row r="145">
      <c r="A145" s="2" t="inlineStr">
        <is>
          <t>CEPA-040</t>
        </is>
      </c>
      <c r="B145" s="2" t="inlineStr">
        <is>
          <t>PLANILLA</t>
        </is>
      </c>
      <c r="C145" s="2" t="inlineStr">
        <is>
          <t>Seguimiento Reintegro</t>
        </is>
      </c>
      <c r="D145" s="2" t="inlineStr">
        <is>
          <t>Hoja 'Seguimiento Reintegro' (24 columnas): FOLIO, DERIVACIÓN, FECHA, NOMBRE, RUT, REGION.</t>
        </is>
      </c>
      <c r="E145" s="2" t="inlineStr">
        <is>
          <t>TC-CEPA-040-010</t>
        </is>
      </c>
      <c r="F145" s="2" t="inlineStr">
        <is>
          <t>RN-1, RN-2</t>
        </is>
      </c>
    </row>
    <row r="146">
      <c r="A146" s="2" t="inlineStr">
        <is>
          <t>CEPA-041</t>
        </is>
      </c>
      <c r="B146" s="2" t="inlineStr">
        <is>
          <t>AC</t>
        </is>
      </c>
      <c r="C146" s="2" t="inlineStr">
        <is>
          <t>CA-1</t>
        </is>
      </c>
      <c r="D146" s="2" t="inlineStr">
        <is>
          <t>Dado caso sin RECA, cuando ingresa fecha, tipo y N° de RECA y guarda, entonces la RECA queda asociada y visible en reintegro y auditoría.</t>
        </is>
      </c>
      <c r="E146" s="2" t="inlineStr">
        <is>
          <t>TC-CEPA-041-001</t>
        </is>
      </c>
      <c r="F146" s="2" t="inlineStr">
        <is>
          <t>RN-1, RN-5</t>
        </is>
      </c>
    </row>
    <row r="147">
      <c r="A147" s="2" t="inlineStr">
        <is>
          <t>CEPA-041</t>
        </is>
      </c>
      <c r="B147" s="2" t="inlineStr">
        <is>
          <t>AC</t>
        </is>
      </c>
      <c r="C147" s="2" t="inlineStr">
        <is>
          <t>CA-2</t>
        </is>
      </c>
      <c r="D147" s="2" t="inlineStr">
        <is>
          <t>Dado solicitud de medidas = Sí, cuando intenta guardar sin describir medidas ni su fecha, entonces el sistema exige detalle y fecha antes de guardar.</t>
        </is>
      </c>
      <c r="E147" s="2" t="inlineStr">
        <is>
          <t>TC-CEPA-041-002</t>
        </is>
      </c>
      <c r="F147" s="2" t="inlineStr">
        <is>
          <t>RN-2</t>
        </is>
      </c>
    </row>
    <row r="148">
      <c r="A148" s="2" t="inlineStr">
        <is>
          <t>CEPA-041</t>
        </is>
      </c>
      <c r="B148" s="2" t="inlineStr">
        <is>
          <t>AC</t>
        </is>
      </c>
      <c r="C148" s="2" t="inlineStr">
        <is>
          <t>CA-3</t>
        </is>
      </c>
      <c r="D148" s="2" t="inlineStr">
        <is>
          <t>Dado medida con fecha registrada, cuando se registra la verificación, entonces la fecha de verificación debe ser &gt;= fecha de la medida; en caso contrario se rechaza.</t>
        </is>
      </c>
      <c r="E148" s="2" t="inlineStr">
        <is>
          <t>TC-CEPA-041-003</t>
        </is>
      </c>
      <c r="F148" s="2" t="inlineStr">
        <is>
          <t>RN-3, RN-4</t>
        </is>
      </c>
    </row>
    <row r="149">
      <c r="A149" s="2" t="inlineStr">
        <is>
          <t>CEPA-041</t>
        </is>
      </c>
      <c r="B149" s="2" t="inlineStr">
        <is>
          <t>AC</t>
        </is>
      </c>
      <c r="C149" s="2" t="inlineStr">
        <is>
          <t>CA-4</t>
        </is>
      </c>
      <c r="D149" s="2" t="inlineStr">
        <is>
          <t>Dado caso con riesgos calificados, cuando el Auditor consulta el caso, entonces visualiza RECA, riesgos y estado de medidas en modo solo lectura.</t>
        </is>
      </c>
      <c r="E149" s="2" t="inlineStr">
        <is>
          <t>TC-CEPA-041-004</t>
        </is>
      </c>
      <c r="F149" s="2" t="inlineStr">
        <is>
          <t>RN-6</t>
        </is>
      </c>
    </row>
    <row r="150">
      <c r="A150" s="2" t="inlineStr">
        <is>
          <t>CEPA-041</t>
        </is>
      </c>
      <c r="B150" s="2" t="inlineStr">
        <is>
          <t>BR</t>
        </is>
      </c>
      <c r="C150" s="2" t="inlineStr">
        <is>
          <t>RN-1</t>
        </is>
      </c>
      <c r="D150" s="2" t="inlineStr">
        <is>
          <t>N° de RECA único por caso; fecha y tipo de RECA obligatorios cuando se registra una RECA.</t>
        </is>
      </c>
      <c r="E150" s="2" t="inlineStr">
        <is>
          <t>TC-CEPA-041-005</t>
        </is>
      </c>
      <c r="F150" s="2" t="inlineStr">
        <is>
          <t>RN-1</t>
        </is>
      </c>
    </row>
    <row r="151">
      <c r="A151" s="2" t="inlineStr">
        <is>
          <t>CEPA-041</t>
        </is>
      </c>
      <c r="B151" s="2" t="inlineStr">
        <is>
          <t>BR</t>
        </is>
      </c>
      <c r="C151" s="2" t="inlineStr">
        <is>
          <t>RN-4</t>
        </is>
      </c>
      <c r="D151" s="2" t="inlineStr">
        <is>
          <t>Verificación = Sí requiere fecha de verificación registrada.</t>
        </is>
      </c>
      <c r="E151" s="2" t="inlineStr">
        <is>
          <t>TC-CEPA-041-006</t>
        </is>
      </c>
      <c r="F151" s="2" t="inlineStr">
        <is>
          <t>RN-3, RN-4</t>
        </is>
      </c>
    </row>
    <row r="152">
      <c r="A152" s="2" t="inlineStr">
        <is>
          <t>CEPA-041</t>
        </is>
      </c>
      <c r="B152" s="2" t="inlineStr">
        <is>
          <t>BR</t>
        </is>
      </c>
      <c r="C152" s="2" t="inlineStr">
        <is>
          <t>RN-5</t>
        </is>
      </c>
      <c r="D152" s="2" t="inlineStr">
        <is>
          <t>Razón social del empleador obligatoria; consistente con el rubro/actividad económica de CEPA-040.</t>
        </is>
      </c>
      <c r="E152" s="2" t="inlineStr">
        <is>
          <t>TC-CEPA-041-007</t>
        </is>
      </c>
      <c r="F152" s="2" t="inlineStr">
        <is>
          <t>RN-5</t>
        </is>
      </c>
    </row>
    <row r="153">
      <c r="A153" s="2" t="inlineStr">
        <is>
          <t>CEPA-041</t>
        </is>
      </c>
      <c r="B153" s="2" t="inlineStr">
        <is>
          <t>BR</t>
        </is>
      </c>
      <c r="C153" s="2" t="inlineStr">
        <is>
          <t>RN-6</t>
        </is>
      </c>
      <c r="D153" s="2" t="inlineStr">
        <is>
          <t>Toda operación se registra en el log de auditoría. Solo Administrativo/Coordinación editan; Auditor solo lectura.</t>
        </is>
      </c>
      <c r="E153" s="2" t="inlineStr">
        <is>
          <t>TC-CEPA-041-008</t>
        </is>
      </c>
      <c r="F153" s="2" t="inlineStr">
        <is>
          <t>RN-6</t>
        </is>
      </c>
    </row>
    <row r="154">
      <c r="A154" s="2" t="inlineStr">
        <is>
          <t>CEPA-041</t>
        </is>
      </c>
      <c r="B154" s="2" t="inlineStr">
        <is>
          <t>PLANILLA</t>
        </is>
      </c>
      <c r="C154" s="2" t="inlineStr">
        <is>
          <t>Seguimiento Reintegro</t>
        </is>
      </c>
      <c r="D154" s="2" t="inlineStr">
        <is>
          <t>Hoja 'Seguimiento Reintegro' (24 columnas): SOLICITAR RECA, FECHA RECA, RECA, N° RECA, SOLICITAR-VERIFICACIÓN-MEDIDAS, SOLICITUDES REALIZADAS, FECHA MEDIDAS, FECHA VERIFICACION, RIESGOS, RAZON SOCIAL.</t>
        </is>
      </c>
      <c r="E154" s="2" t="inlineStr">
        <is>
          <t>TC-CEPA-041-009</t>
        </is>
      </c>
      <c r="F154" s="2" t="inlineStr">
        <is>
          <t>RN-1, RN-2, RN-3</t>
        </is>
      </c>
    </row>
    <row r="155">
      <c r="A155" s="2" t="inlineStr">
        <is>
          <t>CEPA-042</t>
        </is>
      </c>
      <c r="B155" s="2" t="inlineStr">
        <is>
          <t>AC</t>
        </is>
      </c>
      <c r="C155" s="2" t="inlineStr">
        <is>
          <t>CA-1</t>
        </is>
      </c>
      <c r="D155" s="2" t="inlineStr">
        <is>
          <t>Dado caso con RECA y medidas verificadas, cuando marca estado Total e ingresa fecha de reintegro, entonces registra término de LM y refleja 'reintegro total' en reintegro y auditoría.</t>
        </is>
      </c>
      <c r="E155" s="2" t="inlineStr">
        <is>
          <t>TC-CEPA-042-001</t>
        </is>
      </c>
      <c r="F155" s="2" t="inlineStr">
        <is>
          <t>RN-1, RN-3</t>
        </is>
      </c>
    </row>
    <row r="156">
      <c r="A156" s="2" t="inlineStr">
        <is>
          <t>CEPA-042</t>
        </is>
      </c>
      <c r="B156" s="2" t="inlineStr">
        <is>
          <t>AC</t>
        </is>
      </c>
      <c r="C156" s="2" t="inlineStr">
        <is>
          <t>CA-2</t>
        </is>
      </c>
      <c r="D156" s="2" t="inlineStr">
        <is>
          <t>Dado estado = Parcial, cuando se guarda sin fecha de reintegro, entonces el sistema permite guardar pero mantiene el caso abierto.</t>
        </is>
      </c>
      <c r="E156" s="2" t="inlineStr">
        <is>
          <t>TC-CEPA-042-002</t>
        </is>
      </c>
      <c r="F156" s="2" t="inlineStr">
        <is>
          <t>RN-1, RN-3</t>
        </is>
      </c>
    </row>
    <row r="157">
      <c r="A157" s="2" t="inlineStr">
        <is>
          <t>CEPA-042</t>
        </is>
      </c>
      <c r="B157" s="2" t="inlineStr">
        <is>
          <t>AC</t>
        </is>
      </c>
      <c r="C157" s="2" t="inlineStr">
        <is>
          <t>CA-3</t>
        </is>
      </c>
      <c r="D157" s="2" t="inlineStr">
        <is>
          <t>Dado caso con reintegro total, cuando registra alta médica y psicológica con tipo de alta, entonces el caso queda cerrado y la fecha de reintegro no puede ser anterior a la fecha de RECA.</t>
        </is>
      </c>
      <c r="E157" s="2" t="inlineStr">
        <is>
          <t>TC-CEPA-042-003</t>
        </is>
      </c>
      <c r="F157" s="2" t="inlineStr">
        <is>
          <t>RN-2, RN-4</t>
        </is>
      </c>
    </row>
    <row r="158">
      <c r="A158" s="2" t="inlineStr">
        <is>
          <t>CEPA-042</t>
        </is>
      </c>
      <c r="B158" s="2" t="inlineStr">
        <is>
          <t>AC</t>
        </is>
      </c>
      <c r="C158" s="2" t="inlineStr">
        <is>
          <t>CA-4</t>
        </is>
      </c>
      <c r="D158" s="2" t="inlineStr">
        <is>
          <t>Dado caso remitido a ISL = Sí, cuando el Auditor consulta el cierre, entonces visualiza estado, fechas y altas en modo solo lectura.</t>
        </is>
      </c>
      <c r="E158" s="2" t="inlineStr">
        <is>
          <t>TC-CEPA-042-004</t>
        </is>
      </c>
      <c r="F158" s="2" t="inlineStr">
        <is>
          <t>RN-5, RN-6</t>
        </is>
      </c>
    </row>
    <row r="159">
      <c r="A159" s="2" t="inlineStr">
        <is>
          <t>CEPA-042</t>
        </is>
      </c>
      <c r="B159" s="2" t="inlineStr">
        <is>
          <t>BR</t>
        </is>
      </c>
      <c r="C159" s="2" t="inlineStr">
        <is>
          <t>RN-1</t>
        </is>
      </c>
      <c r="D159" s="2" t="inlineStr">
        <is>
          <t>Estado de reintegro en {pendiente, parcial, total}; 'Total' exige fecha de reintegro (término de LM).</t>
        </is>
      </c>
      <c r="E159" s="2" t="inlineStr">
        <is>
          <t>TC-CEPA-042-005</t>
        </is>
      </c>
      <c r="F159" s="2" t="inlineStr">
        <is>
          <t>RN-1, RN-3</t>
        </is>
      </c>
    </row>
    <row r="160">
      <c r="A160" s="2" t="inlineStr">
        <is>
          <t>CEPA-042</t>
        </is>
      </c>
      <c r="B160" s="2" t="inlineStr">
        <is>
          <t>BR</t>
        </is>
      </c>
      <c r="C160" s="2" t="inlineStr">
        <is>
          <t>RN-2</t>
        </is>
      </c>
      <c r="D160" s="2" t="inlineStr">
        <is>
          <t>Fecha de reintegro &gt;= fecha de RECA (CEPA-041) y &gt;= fecha del caso (CEPA-040).</t>
        </is>
      </c>
      <c r="E160" s="2" t="inlineStr">
        <is>
          <t>TC-CEPA-042-006</t>
        </is>
      </c>
      <c r="F160" s="2" t="inlineStr">
        <is>
          <t>RN-2</t>
        </is>
      </c>
    </row>
    <row r="161">
      <c r="A161" s="2" t="inlineStr">
        <is>
          <t>CEPA-042</t>
        </is>
      </c>
      <c r="B161" s="2" t="inlineStr">
        <is>
          <t>BR</t>
        </is>
      </c>
      <c r="C161" s="2" t="inlineStr">
        <is>
          <t>RN-4</t>
        </is>
      </c>
      <c r="D161" s="2" t="inlineStr">
        <is>
          <t>El cierre requiere al menos alta médica o psicológica con tipo de alta; tipo de alta obligatorio al cerrar (D11).</t>
        </is>
      </c>
      <c r="E161" s="2" t="inlineStr">
        <is>
          <t>TC-CEPA-042-007</t>
        </is>
      </c>
      <c r="F161" s="2" t="inlineStr">
        <is>
          <t>RN-4</t>
        </is>
      </c>
    </row>
    <row r="162">
      <c r="A162" s="2" t="inlineStr">
        <is>
          <t>CEPA-042</t>
        </is>
      </c>
      <c r="B162" s="2" t="inlineStr">
        <is>
          <t>BR</t>
        </is>
      </c>
      <c r="C162" s="2" t="inlineStr">
        <is>
          <t>RN-5</t>
        </is>
      </c>
      <c r="D162" s="2" t="inlineStr">
        <is>
          <t>'Remitido a ISL' es sí/no; si Sí, queda disponible para el reporte de auditoría/contraparte.</t>
        </is>
      </c>
      <c r="E162" s="2" t="inlineStr">
        <is>
          <t>TC-CEPA-042-008</t>
        </is>
      </c>
      <c r="F162" s="2" t="inlineStr">
        <is>
          <t>RN-5</t>
        </is>
      </c>
    </row>
    <row r="163">
      <c r="A163" s="2" t="inlineStr">
        <is>
          <t>CEPA-042</t>
        </is>
      </c>
      <c r="B163" s="2" t="inlineStr">
        <is>
          <t>BR</t>
        </is>
      </c>
      <c r="C163" s="2" t="inlineStr">
        <is>
          <t>RN-6</t>
        </is>
      </c>
      <c r="D163" s="2" t="inlineStr">
        <is>
          <t>Toda operación se registra en el log de auditoría. Solo Administrativo/Coordinación editan; Auditor solo lectura.</t>
        </is>
      </c>
      <c r="E163" s="2" t="inlineStr">
        <is>
          <t>TC-CEPA-042-009</t>
        </is>
      </c>
      <c r="F163" s="2" t="inlineStr">
        <is>
          <t>RN-6</t>
        </is>
      </c>
    </row>
    <row r="164">
      <c r="A164" s="2" t="inlineStr">
        <is>
          <t>CEPA-042</t>
        </is>
      </c>
      <c r="B164" s="2" t="inlineStr">
        <is>
          <t>PLANILLA</t>
        </is>
      </c>
      <c r="C164" s="2" t="inlineStr">
        <is>
          <t>Seguimiento Reintegro</t>
        </is>
      </c>
      <c r="D164" s="2" t="inlineStr">
        <is>
          <t>Hoja 'Seguimiento Reintegro' (24 columnas): REINTEGRO, FECHA REINTEGRO (T.LM), REMITIDO A ISL, ESTADO, ALTA MEDICA/CIERRE, ALTA PSICOLOGICA/CIERRE, TIPO DE ALTA, OBSERVACIÓN.</t>
        </is>
      </c>
      <c r="E164" s="2" t="inlineStr">
        <is>
          <t>TC-CEPA-042-010</t>
        </is>
      </c>
      <c r="F164" s="2" t="inlineStr">
        <is>
          <t>RN-1, RN-4, RN-5</t>
        </is>
      </c>
    </row>
    <row r="165">
      <c r="A165" s="2" t="inlineStr">
        <is>
          <t>CEPA-050</t>
        </is>
      </c>
      <c r="B165" s="2" t="inlineStr">
        <is>
          <t>AC</t>
        </is>
      </c>
      <c r="C165" s="2" t="inlineStr">
        <is>
          <t>CA-1</t>
        </is>
      </c>
      <c r="D165" s="2" t="inlineStr">
        <is>
          <t>Dado un Auditor que busca un caso por folio/RUT/nº siniestro, cuando abre la vista consolidada, entonces ve §7.5.1–§7.5.4 en una sola pantalla consolidados desde los módulos de origen.</t>
        </is>
      </c>
      <c r="E165" s="2" t="inlineStr">
        <is>
          <t>TC-CEPA-050-001</t>
        </is>
      </c>
      <c r="F165" s="2" t="inlineStr">
        <is>
          <t>RN-1, RN-3</t>
        </is>
      </c>
    </row>
    <row r="166">
      <c r="A166" s="2" t="inlineStr">
        <is>
          <t>CEPA-050</t>
        </is>
      </c>
      <c r="B166" s="2" t="inlineStr">
        <is>
          <t>AC</t>
        </is>
      </c>
      <c r="C166" s="2" t="inlineStr">
        <is>
          <t>CA-2</t>
        </is>
      </c>
      <c r="D166" s="2" t="inlineStr">
        <is>
          <t>Dado un usuario con dos denuncias bajo el mismo RUT con distinto nº de siniestro (D2), cuando el Auditor abre la vista consolidada, entonces cada siniestro se presenta como caso diferenciado sin mezclar hitos.</t>
        </is>
      </c>
      <c r="E166" s="2" t="inlineStr">
        <is>
          <t>TC-CEPA-050-002</t>
        </is>
      </c>
      <c r="F166" s="2" t="inlineStr">
        <is>
          <t>RN-3</t>
        </is>
      </c>
    </row>
    <row r="167">
      <c r="A167" s="2" t="inlineStr">
        <is>
          <t>CEPA-050</t>
        </is>
      </c>
      <c r="B167" s="2" t="inlineStr">
        <is>
          <t>AC</t>
        </is>
      </c>
      <c r="C167" s="2" t="inlineStr">
        <is>
          <t>CA-3</t>
        </is>
      </c>
      <c r="D167" s="2" t="inlineStr">
        <is>
          <t>Dado un caso con diagnóstico inicial y post-RECA distintos, cuando el Auditor revisa el seguimiento de evaluaciones, entonces ve ambos diagnósticos por separado junto con la fecha de calificación.</t>
        </is>
      </c>
      <c r="E167" s="2" t="inlineStr">
        <is>
          <t>TC-CEPA-050-003</t>
        </is>
      </c>
      <c r="F167" s="2" t="inlineStr">
        <is>
          <t>RN-4</t>
        </is>
      </c>
    </row>
    <row r="168">
      <c r="A168" s="2" t="inlineStr">
        <is>
          <t>CEPA-050</t>
        </is>
      </c>
      <c r="B168" s="2" t="inlineStr">
        <is>
          <t>AC</t>
        </is>
      </c>
      <c r="C168" s="2" t="inlineStr">
        <is>
          <t>CA-4</t>
        </is>
      </c>
      <c r="D168" s="2" t="inlineStr">
        <is>
          <t>Dado un Auditor en la vista consolidada, cuando intenta modificar cualquier dato clínico, entonces no hay controles de edición y la acción queda denegada (solo lectura).</t>
        </is>
      </c>
      <c r="E168" s="2" t="inlineStr">
        <is>
          <t>TC-CEPA-050-004</t>
        </is>
      </c>
      <c r="F168" s="2" t="inlineStr">
        <is>
          <t>RN-1, RN-2</t>
        </is>
      </c>
    </row>
    <row r="169">
      <c r="A169" s="2" t="inlineStr">
        <is>
          <t>CEPA-050</t>
        </is>
      </c>
      <c r="B169" s="2" t="inlineStr">
        <is>
          <t>AC</t>
        </is>
      </c>
      <c r="C169" s="2" t="inlineStr">
        <is>
          <t>CA-5</t>
        </is>
      </c>
      <c r="D169" s="2" t="inlineStr">
        <is>
          <t>Dado un caso en tratamiento sin altas, cuando el Auditor abre la vista consolidada, entonces el cierre se muestra pendiente/vacío sin bloquear la visualización del resto de los hitos.</t>
        </is>
      </c>
      <c r="E169" s="2" t="inlineStr">
        <is>
          <t>TC-CEPA-050-005</t>
        </is>
      </c>
      <c r="F169" s="2" t="inlineStr">
        <is>
          <t>RN-6</t>
        </is>
      </c>
    </row>
    <row r="170">
      <c r="A170" s="2" t="inlineStr">
        <is>
          <t>CEPA-050</t>
        </is>
      </c>
      <c r="B170" s="2" t="inlineStr">
        <is>
          <t>BR</t>
        </is>
      </c>
      <c r="C170" s="2" t="inlineStr">
        <is>
          <t>RN-5</t>
        </is>
      </c>
      <c r="D170" s="2" t="inlineStr">
        <is>
          <t>Coherencia temporal de hitos: denuncia ≤ derivación ≤ evaluaciones ≤ calificación ≤ 1ª consulta ≤ altas; la auditoría señala inconsistencias, no las corrige.</t>
        </is>
      </c>
      <c r="E170" s="2" t="inlineStr">
        <is>
          <t>TC-CEPA-050-006</t>
        </is>
      </c>
      <c r="F170" s="2" t="inlineStr">
        <is>
          <t>RN-5, RN-1</t>
        </is>
      </c>
    </row>
    <row r="171">
      <c r="A171" s="2" t="inlineStr">
        <is>
          <t>CEPA-050</t>
        </is>
      </c>
      <c r="B171" s="2" t="inlineStr">
        <is>
          <t>BR</t>
        </is>
      </c>
      <c r="C171" s="2" t="inlineStr">
        <is>
          <t>RN-6</t>
        </is>
      </c>
      <c r="D171" s="2" t="inlineStr">
        <is>
          <t>El cierre puede tener altas parciales (solo médica, solo psicológica) o terapéutica; la simplificación a una sola fecha de alta queda sujeta a D11.</t>
        </is>
      </c>
      <c r="E171" s="2" t="inlineStr">
        <is>
          <t>TC-CEPA-050-007</t>
        </is>
      </c>
      <c r="F171" s="2" t="inlineStr">
        <is>
          <t>RN-6</t>
        </is>
      </c>
    </row>
    <row r="172">
      <c r="A172" s="2" t="inlineStr">
        <is>
          <t>CEPA-050</t>
        </is>
      </c>
      <c r="B172" s="2" t="inlineStr">
        <is>
          <t>BR</t>
        </is>
      </c>
      <c r="C172" s="2" t="inlineStr">
        <is>
          <t>RN-7</t>
        </is>
      </c>
      <c r="D172" s="2" t="inlineStr">
        <is>
          <t>El acceso a la vista consolidada se registra en el log de auditoría (EPIC-00); solo Coordinación y Auditor acceden; Administrativo según permisos de sus módulos.</t>
        </is>
      </c>
      <c r="E172" s="2" t="inlineStr">
        <is>
          <t>TC-CEPA-050-008</t>
        </is>
      </c>
      <c r="F172" s="2" t="inlineStr">
        <is>
          <t>RN-7, RN-2</t>
        </is>
      </c>
    </row>
    <row r="173">
      <c r="A173" s="2" t="inlineStr">
        <is>
          <t>CEPA-050</t>
        </is>
      </c>
      <c r="B173" s="2" t="inlineStr">
        <is>
          <t>PLANILLA</t>
        </is>
      </c>
      <c r="C173" s="2" t="inlineStr">
        <is>
          <t>Auditoría</t>
        </is>
      </c>
      <c r="D173" s="2" t="inlineStr">
        <is>
          <t>Hoja Excel 'Auditoría' (28 columnas, A1:AB12) reemplazada por el módulo de auditoría.</t>
        </is>
      </c>
      <c r="E173" s="2" t="inlineStr">
        <is>
          <t>TC-CEPA-050-009</t>
        </is>
      </c>
      <c r="F173" s="2" t="inlineStr">
        <is>
          <t>RN-1, RN-3</t>
        </is>
      </c>
    </row>
    <row r="174">
      <c r="A174" s="2" t="inlineStr">
        <is>
          <t>CEPA-050</t>
        </is>
      </c>
      <c r="B174" s="2" t="inlineStr">
        <is>
          <t>PLANILLA</t>
        </is>
      </c>
      <c r="C174" s="2" t="inlineStr">
        <is>
          <t>Auditoría</t>
        </is>
      </c>
      <c r="D174" s="2" t="inlineStr">
        <is>
          <t>Valores de lista de la hoja 'Auditoría': sí/no en reintegros y altas, catálogo de Estado y marcador sin-dato 'S/D' observado en filas 5–8.</t>
        </is>
      </c>
      <c r="E174" s="2" t="inlineStr">
        <is>
          <t>TC-CEPA-050-010</t>
        </is>
      </c>
      <c r="F174" s="2" t="inlineStr">
        <is>
          <t>RN-6</t>
        </is>
      </c>
    </row>
    <row r="175">
      <c r="A175" s="2" t="inlineStr">
        <is>
          <t>CEPA-051</t>
        </is>
      </c>
      <c r="B175" s="2" t="inlineStr">
        <is>
          <t>AC</t>
        </is>
      </c>
      <c r="C175" s="2" t="inlineStr">
        <is>
          <t>CA-1</t>
        </is>
      </c>
      <c r="D175" s="2" t="inlineStr">
        <is>
          <t>Dado el generador de reportes, cuando el Auditor selecciona período + diagnóstico + profesional + estado y ejecuta, entonces devuelve solo los casos que cumplen todos los filtros con sus hitos consolidados.</t>
        </is>
      </c>
      <c r="E175" s="2" t="inlineStr">
        <is>
          <t>TC-CEPA-051-001</t>
        </is>
      </c>
      <c r="F175" s="2" t="inlineStr">
        <is>
          <t>RN-2, RN-6</t>
        </is>
      </c>
    </row>
    <row r="176">
      <c r="A176" s="2" t="inlineStr">
        <is>
          <t>CEPA-051</t>
        </is>
      </c>
      <c r="B176" s="2" t="inlineStr">
        <is>
          <t>AC</t>
        </is>
      </c>
      <c r="C176" s="2" t="inlineStr">
        <is>
          <t>CA-2</t>
        </is>
      </c>
      <c r="D176" s="2" t="inlineStr">
        <is>
          <t>Dado un reporte generado con filtros, cuando el Auditor solicita la descarga, entonces recibe un formato estándar descargable con los filtros como metadatos.</t>
        </is>
      </c>
      <c r="E176" s="2" t="inlineStr">
        <is>
          <t>TC-CEPA-051-002</t>
        </is>
      </c>
      <c r="F176" s="2" t="inlineStr">
        <is>
          <t>RN-4</t>
        </is>
      </c>
    </row>
    <row r="177">
      <c r="A177" s="2" t="inlineStr">
        <is>
          <t>CEPA-051</t>
        </is>
      </c>
      <c r="B177" s="2" t="inlineStr">
        <is>
          <t>AC</t>
        </is>
      </c>
      <c r="C177" s="2" t="inlineStr">
        <is>
          <t>CA-3</t>
        </is>
      </c>
      <c r="D177" s="2" t="inlineStr">
        <is>
          <t>Dado un reporte descargado, cuando la contraparte verifica un dato, entonces cada fila es trazable a su folio y nº de siniestro y hasta su módulo fuente.</t>
        </is>
      </c>
      <c r="E177" s="2" t="inlineStr">
        <is>
          <t>TC-CEPA-051-003</t>
        </is>
      </c>
      <c r="F177" s="2" t="inlineStr">
        <is>
          <t>RN-3</t>
        </is>
      </c>
    </row>
    <row r="178">
      <c r="A178" s="2" t="inlineStr">
        <is>
          <t>CEPA-051</t>
        </is>
      </c>
      <c r="B178" s="2" t="inlineStr">
        <is>
          <t>AC</t>
        </is>
      </c>
      <c r="C178" s="2" t="inlineStr">
        <is>
          <t>CA-4</t>
        </is>
      </c>
      <c r="D178" s="2" t="inlineStr">
        <is>
          <t>Dado filtros sin coincidencias, cuando el Auditor ejecuta el reporte, entonces ve un resultado vacío con mensaje claro, sin error ni filas espurias.</t>
        </is>
      </c>
      <c r="E178" s="2" t="inlineStr">
        <is>
          <t>TC-CEPA-051-004</t>
        </is>
      </c>
      <c r="F178" s="2" t="inlineStr"/>
    </row>
    <row r="179">
      <c r="A179" s="2" t="inlineStr">
        <is>
          <t>CEPA-051</t>
        </is>
      </c>
      <c r="B179" s="2" t="inlineStr">
        <is>
          <t>AC</t>
        </is>
      </c>
      <c r="C179" s="2" t="inlineStr">
        <is>
          <t>CA-5</t>
        </is>
      </c>
      <c r="D179" s="2" t="inlineStr">
        <is>
          <t>Dado un perfil sin permiso de auditoría, cuando intenta generar o descargar un reporte, entonces el sistema deniega la acción por RBAC.</t>
        </is>
      </c>
      <c r="E179" s="2" t="inlineStr">
        <is>
          <t>TC-CEPA-051-005</t>
        </is>
      </c>
      <c r="F179" s="2" t="inlineStr">
        <is>
          <t>RN-7</t>
        </is>
      </c>
    </row>
    <row r="180">
      <c r="A180" s="2" t="inlineStr">
        <is>
          <t>CEPA-051</t>
        </is>
      </c>
      <c r="B180" s="2" t="inlineStr">
        <is>
          <t>BR</t>
        </is>
      </c>
      <c r="C180" s="2" t="inlineStr">
        <is>
          <t>RN-1</t>
        </is>
      </c>
      <c r="D180" s="2" t="inlineStr">
        <is>
          <t>Los reportes son de solo lectura: el Auditor genera y descarga, no edita datos clínicos (D1 · PRD §5.3).</t>
        </is>
      </c>
      <c r="E180" s="2" t="inlineStr">
        <is>
          <t>TC-CEPA-051-006</t>
        </is>
      </c>
      <c r="F180" s="2" t="inlineStr">
        <is>
          <t>RN-1, RN-7</t>
        </is>
      </c>
    </row>
    <row r="181">
      <c r="A181" s="2" t="inlineStr">
        <is>
          <t>CEPA-051</t>
        </is>
      </c>
      <c r="B181" s="2" t="inlineStr">
        <is>
          <t>BR</t>
        </is>
      </c>
      <c r="C181" s="2" t="inlineStr">
        <is>
          <t>RN-2</t>
        </is>
      </c>
      <c r="D181" s="2" t="inlineStr">
        <is>
          <t>Los filtros son combinables (AND); un período es obligatorio para acotar el universo del reporte.</t>
        </is>
      </c>
      <c r="E181" s="2" t="inlineStr">
        <is>
          <t>TC-CEPA-051-007</t>
        </is>
      </c>
      <c r="F181" s="2" t="inlineStr">
        <is>
          <t>RN-2</t>
        </is>
      </c>
    </row>
    <row r="182">
      <c r="A182" s="2" t="inlineStr">
        <is>
          <t>CEPA-051</t>
        </is>
      </c>
      <c r="B182" s="2" t="inlineStr">
        <is>
          <t>BR</t>
        </is>
      </c>
      <c r="C182" s="2" t="inlineStr">
        <is>
          <t>RN-5</t>
        </is>
      </c>
      <c r="D182" s="2" t="inlineStr">
        <is>
          <t>La generación de cada reporte se registra en el log de auditoría (EPIC-00): quién generó qué reporte, con qué filtros y cuándo.</t>
        </is>
      </c>
      <c r="E182" s="2" t="inlineStr">
        <is>
          <t>TC-CEPA-051-008</t>
        </is>
      </c>
      <c r="F182" s="2" t="inlineStr">
        <is>
          <t>RN-5</t>
        </is>
      </c>
    </row>
    <row r="183">
      <c r="A183" s="2" t="inlineStr">
        <is>
          <t>CEPA-051</t>
        </is>
      </c>
      <c r="B183" s="2" t="inlineStr">
        <is>
          <t>BR</t>
        </is>
      </c>
      <c r="C183" s="2" t="inlineStr">
        <is>
          <t>RN-6</t>
        </is>
      </c>
      <c r="D183" s="2" t="inlineStr">
        <is>
          <t>Filtros y dimensiones alineados a D5: diagnósticos, tipos de alta, profesional, programa, estado del caso, zona geográfica.</t>
        </is>
      </c>
      <c r="E183" s="2" t="inlineStr">
        <is>
          <t>TC-CEPA-051-009</t>
        </is>
      </c>
      <c r="F183" s="2" t="inlineStr">
        <is>
          <t>RN-6, RN-2</t>
        </is>
      </c>
    </row>
    <row r="184">
      <c r="A184" s="2" t="inlineStr">
        <is>
          <t>CEPA-051</t>
        </is>
      </c>
      <c r="B184" s="2" t="inlineStr">
        <is>
          <t>TC</t>
        </is>
      </c>
      <c r="C184" s="2" t="inlineStr">
        <is>
          <t>TC-051-05</t>
        </is>
      </c>
      <c r="D184" s="2" t="inlineStr">
        <is>
          <t>Borde: período amplio (anual) con alto volumen (~800 casos) → reporte paginado/completo en &lt;2 s y descarga íntegra.</t>
        </is>
      </c>
      <c r="E184" s="2" t="inlineStr">
        <is>
          <t>TC-CEPA-051-010</t>
        </is>
      </c>
      <c r="F184" s="2" t="inlineStr">
        <is>
          <t>RN-4</t>
        </is>
      </c>
    </row>
    <row r="185">
      <c r="A185" s="2" t="inlineStr">
        <is>
          <t>CEPA-060</t>
        </is>
      </c>
      <c r="B185" s="2" t="inlineStr">
        <is>
          <t>AC</t>
        </is>
      </c>
      <c r="C185" s="2" t="inlineStr">
        <is>
          <t>CA-1</t>
        </is>
      </c>
      <c r="D185" s="2" t="inlineStr">
        <is>
          <t>Dado un administrativo en el formulario de nuevo control, cuando ingresa folio, región, fecha ingreso, paciente, RUT y médico y guarda, entonces el control se persiste vinculado al folio y se muestra en la vista de gestión.</t>
        </is>
      </c>
      <c r="E185" s="2" t="inlineStr">
        <is>
          <t>TC-CEPA-060-001</t>
        </is>
      </c>
      <c r="F185" s="2" t="inlineStr">
        <is>
          <t>RN-1, RN-5</t>
        </is>
      </c>
    </row>
    <row r="186">
      <c r="A186" s="2" t="inlineStr">
        <is>
          <t>CEPA-060</t>
        </is>
      </c>
      <c r="B186" s="2" t="inlineStr">
        <is>
          <t>AC</t>
        </is>
      </c>
      <c r="C186" s="2" t="inlineStr">
        <is>
          <t>CA-2</t>
        </is>
      </c>
      <c r="D186" s="2" t="inlineStr">
        <is>
          <t>Dado un control con fecha de ingreso y fecha de control, cuando se guarda, entonces el sistema calcula automáticamente la semana del control y la muestra solo lectura.</t>
        </is>
      </c>
      <c r="E186" s="2" t="inlineStr">
        <is>
          <t>TC-CEPA-060-002</t>
        </is>
      </c>
      <c r="F186" s="2" t="inlineStr">
        <is>
          <t>RN-3</t>
        </is>
      </c>
    </row>
    <row r="187">
      <c r="A187" s="2" t="inlineStr">
        <is>
          <t>CEPA-060</t>
        </is>
      </c>
      <c r="B187" s="2" t="inlineStr">
        <is>
          <t>AC</t>
        </is>
      </c>
      <c r="C187" s="2" t="inlineStr">
        <is>
          <t>CA-3</t>
        </is>
      </c>
      <c r="D187" s="2" t="inlineStr">
        <is>
          <t>Dado que se ingresa un RUT con DV inválido, cuando hace clic en guardar, entonces se muestra error específico sin perder los datos ingresados.</t>
        </is>
      </c>
      <c r="E187" s="2" t="inlineStr">
        <is>
          <t>TC-CEPA-060-003</t>
        </is>
      </c>
      <c r="F187" s="2" t="inlineStr">
        <is>
          <t>RN-2</t>
        </is>
      </c>
    </row>
    <row r="188">
      <c r="A188" s="2" t="inlineStr">
        <is>
          <t>CEPA-060</t>
        </is>
      </c>
      <c r="B188" s="2" t="inlineStr">
        <is>
          <t>AC</t>
        </is>
      </c>
      <c r="C188" s="2" t="inlineStr">
        <is>
          <t>CA-4</t>
        </is>
      </c>
      <c r="D188" s="2" t="inlineStr">
        <is>
          <t>Dado un folio que no corresponde a ningún paciente con ingreso, cuando intenta guardar, entonces el sistema bloquea e informa que debe asociarse a un folio existente.</t>
        </is>
      </c>
      <c r="E188" s="2" t="inlineStr">
        <is>
          <t>TC-CEPA-060-004</t>
        </is>
      </c>
      <c r="F188" s="2" t="inlineStr">
        <is>
          <t>RN-1</t>
        </is>
      </c>
    </row>
    <row r="189">
      <c r="A189" s="2" t="inlineStr">
        <is>
          <t>CEPA-060</t>
        </is>
      </c>
      <c r="B189" s="2" t="inlineStr">
        <is>
          <t>BR</t>
        </is>
      </c>
      <c r="C189" s="2" t="inlineStr">
        <is>
          <t>RN-4</t>
        </is>
      </c>
      <c r="D189" s="2" t="inlineStr">
        <is>
          <t>Borde: si fecha_control = fecha_ingreso, la semana del control es 1.</t>
        </is>
      </c>
      <c r="E189" s="2" t="inlineStr">
        <is>
          <t>TC-CEPA-060-005</t>
        </is>
      </c>
      <c r="F189" s="2" t="inlineStr">
        <is>
          <t>RN-3, RN-4</t>
        </is>
      </c>
    </row>
    <row r="190">
      <c r="A190" s="2" t="inlineStr">
        <is>
          <t>CEPA-060</t>
        </is>
      </c>
      <c r="B190" s="2" t="inlineStr">
        <is>
          <t>BR</t>
        </is>
      </c>
      <c r="C190" s="2" t="inlineStr">
        <is>
          <t>RN-4</t>
        </is>
      </c>
      <c r="D190" s="2" t="inlineStr">
        <is>
          <t>Si fecha_control &lt; fecha_ingreso, el sistema rechaza el registro.</t>
        </is>
      </c>
      <c r="E190" s="2" t="inlineStr">
        <is>
          <t>TC-CEPA-060-006</t>
        </is>
      </c>
      <c r="F190" s="2" t="inlineStr">
        <is>
          <t>RN-4</t>
        </is>
      </c>
    </row>
    <row r="191">
      <c r="A191" s="2" t="inlineStr">
        <is>
          <t>CEPA-060</t>
        </is>
      </c>
      <c r="B191" s="2" t="inlineStr">
        <is>
          <t>BR</t>
        </is>
      </c>
      <c r="C191" s="2" t="inlineStr">
        <is>
          <t>RN-5</t>
        </is>
      </c>
      <c r="D191" s="2" t="inlineStr">
        <is>
          <t>Campos obligatorios: folio, región de derivación, fecha de ingreso, nombre, RUT, médico tratante (Decisiones v4 · D6).</t>
        </is>
      </c>
      <c r="E191" s="2" t="inlineStr">
        <is>
          <t>TC-CEPA-060-007</t>
        </is>
      </c>
      <c r="F191" s="2" t="inlineStr">
        <is>
          <t>RN-5</t>
        </is>
      </c>
    </row>
    <row r="192">
      <c r="A192" s="2" t="inlineStr">
        <is>
          <t>CEPA-060</t>
        </is>
      </c>
      <c r="B192" s="2" t="inlineStr">
        <is>
          <t>BR</t>
        </is>
      </c>
      <c r="C192" s="2" t="inlineStr">
        <is>
          <t>RN-6</t>
        </is>
      </c>
      <c r="D192" s="2" t="inlineStr">
        <is>
          <t>Coordinación y Administrativo pueden crear/editar; Auditor solo lectura.</t>
        </is>
      </c>
      <c r="E192" s="2" t="inlineStr">
        <is>
          <t>TC-CEPA-060-008</t>
        </is>
      </c>
      <c r="F192" s="2" t="inlineStr">
        <is>
          <t>RN-6</t>
        </is>
      </c>
    </row>
    <row r="193">
      <c r="A193" s="2" t="inlineStr">
        <is>
          <t>CEPA-060</t>
        </is>
      </c>
      <c r="B193" s="2" t="inlineStr">
        <is>
          <t>PLANILLA</t>
        </is>
      </c>
      <c r="C193" s="2" t="inlineStr">
        <is>
          <t>Controles Médicos</t>
        </is>
      </c>
      <c r="D193" s="2" t="inlineStr">
        <is>
          <t>Hoja «Controles Médicos» (24 columnas): Folio, Región de derivación, Fecha Ingreso, Paciente, Rut, Médico Tratante, Semana Control, Día Próximo Control, Agenda Salutem, Licencia Si/No, Resumen (Término LM), Total días de LM, Tipo Licencia, Tipo Reposo, GAF, RECA, fechas RECA EP/EC, Fecha Cierre EC, Observaciones generales.</t>
        </is>
      </c>
      <c r="E193" s="2" t="inlineStr">
        <is>
          <t>TC-CEPA-060-009</t>
        </is>
      </c>
      <c r="F193" s="2" t="inlineStr"/>
    </row>
    <row r="194">
      <c r="A194" s="2" t="inlineStr">
        <is>
          <t>CEPA-061</t>
        </is>
      </c>
      <c r="B194" s="2" t="inlineStr">
        <is>
          <t>AC</t>
        </is>
      </c>
      <c r="C194" s="2" t="inlineStr">
        <is>
          <t>CA-1</t>
        </is>
      </c>
      <c r="D194" s="2" t="inlineStr">
        <is>
          <t>Dado un control registrado, cuando el administrativo ingresa el día del próximo control y guarda, entonces el sistema almacena la fecha asociada al folio.</t>
        </is>
      </c>
      <c r="E194" s="2" t="inlineStr">
        <is>
          <t>TC-CEPA-061-001</t>
        </is>
      </c>
      <c r="F194" s="2" t="inlineStr">
        <is>
          <t>RN-1</t>
        </is>
      </c>
    </row>
    <row r="195">
      <c r="A195" s="2" t="inlineStr">
        <is>
          <t>CEPA-061</t>
        </is>
      </c>
      <c r="B195" s="2" t="inlineStr">
        <is>
          <t>AC</t>
        </is>
      </c>
      <c r="C195" s="2" t="inlineStr">
        <is>
          <t>CA-2</t>
        </is>
      </c>
      <c r="D195" s="2" t="inlineStr">
        <is>
          <t>Dado que programa un próximo control, cuando indica el estado de agenda (sí/no), entonces se persiste; por defecto 'no' hasta confirmar la agenda en SALUTEM/SAM.</t>
        </is>
      </c>
      <c r="E195" s="2" t="inlineStr">
        <is>
          <t>TC-CEPA-061-002</t>
        </is>
      </c>
      <c r="F195" s="2" t="inlineStr">
        <is>
          <t>RN-2</t>
        </is>
      </c>
    </row>
    <row r="196">
      <c r="A196" s="2" t="inlineStr">
        <is>
          <t>CEPA-061</t>
        </is>
      </c>
      <c r="B196" s="2" t="inlineStr">
        <is>
          <t>AC</t>
        </is>
      </c>
      <c r="C196" s="2" t="inlineStr">
        <is>
          <t>CA-3</t>
        </is>
      </c>
      <c r="D196" s="2" t="inlineStr">
        <is>
          <t>Dado un próximo control dentro de la ventana de alerta, cuando el sistema ejecuta su revisión programada, entonces se genera una alerta in-app para el administrativo asignado.</t>
        </is>
      </c>
      <c r="E196" s="2" t="inlineStr">
        <is>
          <t>TC-CEPA-061-003</t>
        </is>
      </c>
      <c r="F196" s="2" t="inlineStr">
        <is>
          <t>RN-3</t>
        </is>
      </c>
    </row>
    <row r="197">
      <c r="A197" s="2" t="inlineStr">
        <is>
          <t>CEPA-061</t>
        </is>
      </c>
      <c r="B197" s="2" t="inlineStr">
        <is>
          <t>AC</t>
        </is>
      </c>
      <c r="C197" s="2" t="inlineStr">
        <is>
          <t>CA-4</t>
        </is>
      </c>
      <c r="D197" s="2" t="inlineStr">
        <is>
          <t>Dado que ingresa un próximo control anterior a la fecha del control actual, cuando intenta guardar, entonces el sistema rechaza e informa que debe ser posterior.</t>
        </is>
      </c>
      <c r="E197" s="2" t="inlineStr">
        <is>
          <t>TC-CEPA-061-004</t>
        </is>
      </c>
      <c r="F197" s="2" t="inlineStr">
        <is>
          <t>RN-1</t>
        </is>
      </c>
    </row>
    <row r="198">
      <c r="A198" s="2" t="inlineStr">
        <is>
          <t>CEPA-061</t>
        </is>
      </c>
      <c r="B198" s="2" t="inlineStr">
        <is>
          <t>BR</t>
        </is>
      </c>
      <c r="C198" s="2" t="inlineStr">
        <is>
          <t>RN-4</t>
        </is>
      </c>
      <c r="D198" s="2" t="inlineStr">
        <is>
          <t>Un folio puede tener a lo más un próximo control vigente; programar uno nuevo reemplaza/cierra el anterior pendiente.</t>
        </is>
      </c>
      <c r="E198" s="2" t="inlineStr">
        <is>
          <t>TC-CEPA-061-005</t>
        </is>
      </c>
      <c r="F198" s="2" t="inlineStr">
        <is>
          <t>RN-4</t>
        </is>
      </c>
    </row>
    <row r="199">
      <c r="A199" s="2" t="inlineStr">
        <is>
          <t>CEPA-061</t>
        </is>
      </c>
      <c r="B199" s="2" t="inlineStr">
        <is>
          <t>BR</t>
        </is>
      </c>
      <c r="C199" s="2" t="inlineStr">
        <is>
          <t>RN-5</t>
        </is>
      </c>
      <c r="D199" s="2" t="inlineStr">
        <is>
          <t>Coordinación y Administrativo pueden programar/editar; Auditor solo lectura.</t>
        </is>
      </c>
      <c r="E199" s="2" t="inlineStr">
        <is>
          <t>TC-CEPA-061-006</t>
        </is>
      </c>
      <c r="F199" s="2" t="inlineStr">
        <is>
          <t>RN-5</t>
        </is>
      </c>
    </row>
    <row r="200">
      <c r="A200" s="2" t="inlineStr">
        <is>
          <t>CEPA-062</t>
        </is>
      </c>
      <c r="B200" s="2" t="inlineStr">
        <is>
          <t>AC</t>
        </is>
      </c>
      <c r="C200" s="2" t="inlineStr">
        <is>
          <t>CA-1</t>
        </is>
      </c>
      <c r="D200" s="2" t="inlineStr">
        <is>
          <t>Dado un control con Licencia=sí, cuando ingresa término LM, total días, tipo de licencia, tipo de reposo y GAF y guarda, entonces se persisten asociados al control.</t>
        </is>
      </c>
      <c r="E200" s="2" t="inlineStr">
        <is>
          <t>TC-CEPA-062-001</t>
        </is>
      </c>
      <c r="F200" s="2" t="inlineStr">
        <is>
          <t>RN-1, RN-2, RN-4</t>
        </is>
      </c>
    </row>
    <row r="201">
      <c r="A201" s="2" t="inlineStr">
        <is>
          <t>CEPA-062</t>
        </is>
      </c>
      <c r="B201" s="2" t="inlineStr">
        <is>
          <t>AC</t>
        </is>
      </c>
      <c r="C201" s="2" t="inlineStr">
        <is>
          <t>CA-2</t>
        </is>
      </c>
      <c r="D201" s="2" t="inlineStr">
        <is>
          <t>Dado un control con Licencia=no, cuando se guarda, entonces el sistema no exige los campos de licencia y los deja vacíos/no aplica.</t>
        </is>
      </c>
      <c r="E201" s="2" t="inlineStr">
        <is>
          <t>TC-CEPA-062-002</t>
        </is>
      </c>
      <c r="F201" s="2" t="inlineStr">
        <is>
          <t>RN-1</t>
        </is>
      </c>
    </row>
    <row r="202">
      <c r="A202" s="2" t="inlineStr">
        <is>
          <t>CEPA-062</t>
        </is>
      </c>
      <c r="B202" s="2" t="inlineStr">
        <is>
          <t>AC</t>
        </is>
      </c>
      <c r="C202" s="2" t="inlineStr">
        <is>
          <t>CA-3</t>
        </is>
      </c>
      <c r="D202" s="2" t="inlineStr">
        <is>
          <t>Dado que se ingresa el GAF, cuando el valor está fuera del rango 0–100, entonces el sistema lo rechaza e informa el rango válido.</t>
        </is>
      </c>
      <c r="E202" s="2" t="inlineStr">
        <is>
          <t>TC-CEPA-062-003</t>
        </is>
      </c>
      <c r="F202" s="2" t="inlineStr">
        <is>
          <t>RN-3</t>
        </is>
      </c>
    </row>
    <row r="203">
      <c r="A203" s="2" t="inlineStr">
        <is>
          <t>CEPA-062</t>
        </is>
      </c>
      <c r="B203" s="2" t="inlineStr">
        <is>
          <t>AC</t>
        </is>
      </c>
      <c r="C203" s="2" t="inlineStr">
        <is>
          <t>CA-4</t>
        </is>
      </c>
      <c r="D203" s="2" t="inlineStr">
        <is>
          <t>Dado que registra el estado RECA y observaciones generales, cuando guarda el control, entonces se persisten y son visibles en la vista de gestión y para el Auditor.</t>
        </is>
      </c>
      <c r="E203" s="2" t="inlineStr">
        <is>
          <t>TC-CEPA-062-004</t>
        </is>
      </c>
      <c r="F203" s="2" t="inlineStr">
        <is>
          <t>RN-5</t>
        </is>
      </c>
    </row>
    <row r="204">
      <c r="A204" s="2" t="inlineStr">
        <is>
          <t>CEPA-062</t>
        </is>
      </c>
      <c r="B204" s="2" t="inlineStr">
        <is>
          <t>BR</t>
        </is>
      </c>
      <c r="C204" s="2" t="inlineStr">
        <is>
          <t>RN-1</t>
        </is>
      </c>
      <c r="D204" s="2" t="inlineStr">
        <is>
          <t>Si licencia=sí, resumen de término, total de días, tipo de licencia y tipo de reposo son obligatorios; si licencia=no, se omiten.</t>
        </is>
      </c>
      <c r="E204" s="2" t="inlineStr">
        <is>
          <t>TC-CEPA-062-005</t>
        </is>
      </c>
      <c r="F204" s="2" t="inlineStr">
        <is>
          <t>RN-1</t>
        </is>
      </c>
    </row>
    <row r="205">
      <c r="A205" s="2" t="inlineStr">
        <is>
          <t>CEPA-062</t>
        </is>
      </c>
      <c r="B205" s="2" t="inlineStr">
        <is>
          <t>BR</t>
        </is>
      </c>
      <c r="C205" s="2" t="inlineStr">
        <is>
          <t>RN-2</t>
        </is>
      </c>
      <c r="D205" s="2" t="inlineStr">
        <is>
          <t>tipo_reposo ∈ {total, parcial}; total_días_LM es entero ≥ 1.</t>
        </is>
      </c>
      <c r="E205" s="2" t="inlineStr">
        <is>
          <t>TC-CEPA-062-006</t>
        </is>
      </c>
      <c r="F205" s="2" t="inlineStr">
        <is>
          <t>RN-2</t>
        </is>
      </c>
    </row>
    <row r="206">
      <c r="A206" s="2" t="inlineStr">
        <is>
          <t>CEPA-062</t>
        </is>
      </c>
      <c r="B206" s="2" t="inlineStr">
        <is>
          <t>BR</t>
        </is>
      </c>
      <c r="C206" s="2" t="inlineStr">
        <is>
          <t>RN-4</t>
        </is>
      </c>
      <c r="D206" s="2" t="inlineStr">
        <is>
          <t>tipo_licencia toma valores del catálogo de tipos de LM (ej. tipo 1, 5, 6 — consistente con §7.7.1).</t>
        </is>
      </c>
      <c r="E206" s="2" t="inlineStr">
        <is>
          <t>TC-CEPA-062-007</t>
        </is>
      </c>
      <c r="F206" s="2" t="inlineStr">
        <is>
          <t>RN-4</t>
        </is>
      </c>
    </row>
    <row r="207">
      <c r="A207" s="2" t="inlineStr">
        <is>
          <t>CEPA-062</t>
        </is>
      </c>
      <c r="B207" s="2" t="inlineStr">
        <is>
          <t>BR</t>
        </is>
      </c>
      <c r="C207" s="2" t="inlineStr">
        <is>
          <t>RN-5</t>
        </is>
      </c>
      <c r="D207" s="2" t="inlineStr">
        <is>
          <t>El estado RECA y las observaciones generales son siempre editables independientemente del valor de licencia.</t>
        </is>
      </c>
      <c r="E207" s="2" t="inlineStr">
        <is>
          <t>TC-CEPA-062-008</t>
        </is>
      </c>
      <c r="F207" s="2" t="inlineStr">
        <is>
          <t>RN-1, RN-5</t>
        </is>
      </c>
    </row>
    <row r="208">
      <c r="A208" s="2" t="inlineStr">
        <is>
          <t>CEPA-062</t>
        </is>
      </c>
      <c r="B208" s="2" t="inlineStr">
        <is>
          <t>BR</t>
        </is>
      </c>
      <c r="C208" s="2" t="inlineStr">
        <is>
          <t>RN-6</t>
        </is>
      </c>
      <c r="D208" s="2" t="inlineStr">
        <is>
          <t>Coordinación y Administrativo editan; Auditor solo lectura (PRD §5.3).</t>
        </is>
      </c>
      <c r="E208" s="2" t="inlineStr">
        <is>
          <t>TC-CEPA-062-009</t>
        </is>
      </c>
      <c r="F208" s="2" t="inlineStr">
        <is>
          <t>RN-6</t>
        </is>
      </c>
    </row>
    <row r="209">
      <c r="A209" s="2" t="inlineStr">
        <is>
          <t>CEPA-062</t>
        </is>
      </c>
      <c r="B209" s="2" t="inlineStr">
        <is>
          <t>PLANILLA</t>
        </is>
      </c>
      <c r="C209" s="2" t="inlineStr">
        <is>
          <t>Controles Médicos</t>
        </is>
      </c>
      <c r="D209" s="2" t="inlineStr">
        <is>
          <t>Columnas tipo lista de la hoja «Controles Médicos»: Licencia Si/No, Agenda Salutem, Tipo Reposo, Tipo Licencia deben ser catálogos cerrados.</t>
        </is>
      </c>
      <c r="E209" s="2" t="inlineStr">
        <is>
          <t>TC-CEPA-062-010</t>
        </is>
      </c>
      <c r="F209" s="2" t="inlineStr">
        <is>
          <t>RN-2, RN-4</t>
        </is>
      </c>
    </row>
    <row r="210">
      <c r="A210" s="2" t="inlineStr">
        <is>
          <t>CEPA-070</t>
        </is>
      </c>
      <c r="B210" s="2" t="inlineStr">
        <is>
          <t>AC</t>
        </is>
      </c>
      <c r="C210" s="2" t="inlineStr">
        <is>
          <t>CA-1</t>
        </is>
      </c>
      <c r="D210" s="2" t="inlineStr">
        <is>
          <t>Dado formulario de nueva LM con paciente seleccionado, cuando completa los obligatorios y guarda, entonces la LM queda registrada, vinculada al folio y visible en el historial.</t>
        </is>
      </c>
      <c r="E210" s="2" t="inlineStr">
        <is>
          <t>TC-CEPA-070-001</t>
        </is>
      </c>
      <c r="F210" s="2" t="inlineStr">
        <is>
          <t>RN-1, RN-6</t>
        </is>
      </c>
    </row>
    <row r="211">
      <c r="A211" s="2" t="inlineStr">
        <is>
          <t>CEPA-070</t>
        </is>
      </c>
      <c r="B211" s="2" t="inlineStr">
        <is>
          <t>AC</t>
        </is>
      </c>
      <c r="C211" s="2" t="inlineStr">
        <is>
          <t>CA-2</t>
        </is>
      </c>
      <c r="D211" s="2" t="inlineStr">
        <is>
          <t>Dado fin &lt; inicio, cuando intenta guardar, entonces error de validación específico, no guarda y conserva los datos.</t>
        </is>
      </c>
      <c r="E211" s="2" t="inlineStr">
        <is>
          <t>TC-CEPA-070-002</t>
        </is>
      </c>
      <c r="F211" s="2" t="inlineStr">
        <is>
          <t>RN-4</t>
        </is>
      </c>
    </row>
    <row r="212">
      <c r="A212" s="2" t="inlineStr">
        <is>
          <t>CEPA-070</t>
        </is>
      </c>
      <c r="B212" s="2" t="inlineStr">
        <is>
          <t>AC</t>
        </is>
      </c>
      <c r="C212" s="2" t="inlineStr">
        <is>
          <t>CA-3</t>
        </is>
      </c>
      <c r="D212" s="2" t="inlineStr">
        <is>
          <t>Dado días, inicio y fin de reposo, cuando la cantidad no coincide con la diferencia de fechas, entonces el sistema advierte antes de permitir el guardado.</t>
        </is>
      </c>
      <c r="E212" s="2" t="inlineStr">
        <is>
          <t>TC-CEPA-070-003</t>
        </is>
      </c>
      <c r="F212" s="2" t="inlineStr">
        <is>
          <t>RN-2, RN-5</t>
        </is>
      </c>
    </row>
    <row r="213">
      <c r="A213" s="2" t="inlineStr">
        <is>
          <t>CEPA-070</t>
        </is>
      </c>
      <c r="B213" s="2" t="inlineStr">
        <is>
          <t>AC</t>
        </is>
      </c>
      <c r="C213" s="2" t="inlineStr">
        <is>
          <t>CA-4</t>
        </is>
      </c>
      <c r="D213" s="2" t="inlineStr">
        <is>
          <t>Dado un RUT con DV inválido, cuando se intenta guardar la LM, entonces el sistema bloquea el guardado con mensaje de RUT inválido.</t>
        </is>
      </c>
      <c r="E213" s="2" t="inlineStr">
        <is>
          <t>TC-CEPA-070-004</t>
        </is>
      </c>
      <c r="F213" s="2" t="inlineStr">
        <is>
          <t>RN-1</t>
        </is>
      </c>
    </row>
    <row r="214">
      <c r="A214" s="2" t="inlineStr">
        <is>
          <t>CEPA-070</t>
        </is>
      </c>
      <c r="B214" s="2" t="inlineStr">
        <is>
          <t>BR</t>
        </is>
      </c>
      <c r="C214" s="2" t="inlineStr">
        <is>
          <t>RN-2</t>
        </is>
      </c>
      <c r="D214" s="2" t="inlineStr">
        <is>
          <t>Campos adicionales obligatorios v4 D8: días de reposo, inicio del reposo, fecha de emisión, fin del reposo, indicación de reposo, diagnóstico.</t>
        </is>
      </c>
      <c r="E214" s="2" t="inlineStr">
        <is>
          <t>TC-CEPA-070-005</t>
        </is>
      </c>
      <c r="F214" s="2" t="inlineStr">
        <is>
          <t>RN-2</t>
        </is>
      </c>
    </row>
    <row r="215">
      <c r="A215" s="2" t="inlineStr">
        <is>
          <t>CEPA-070</t>
        </is>
      </c>
      <c r="B215" s="2" t="inlineStr">
        <is>
          <t>BR</t>
        </is>
      </c>
      <c r="C215" s="2" t="inlineStr">
        <is>
          <t>RN-3</t>
        </is>
      </c>
      <c r="D215" s="2" t="inlineStr">
        <is>
          <t>tipo_de_LM solo admite {1, 5, 6}; tipo_de_reposo solo admite {total, parcial}.</t>
        </is>
      </c>
      <c r="E215" s="2" t="inlineStr">
        <is>
          <t>TC-CEPA-070-006</t>
        </is>
      </c>
      <c r="F215" s="2" t="inlineStr">
        <is>
          <t>RN-3</t>
        </is>
      </c>
    </row>
    <row r="216">
      <c r="A216" s="2" t="inlineStr">
        <is>
          <t>CEPA-070</t>
        </is>
      </c>
      <c r="B216" s="2" t="inlineStr">
        <is>
          <t>BR</t>
        </is>
      </c>
      <c r="C216" s="2" t="inlineStr">
        <is>
          <t>RN-4</t>
        </is>
      </c>
      <c r="D216" s="2" t="inlineStr">
        <is>
          <t>fecha_termino ≥ fecha_inicio; fin_reposo ≥ inicio_reposo; fecha_emision ≤ fecha_inicio.</t>
        </is>
      </c>
      <c r="E216" s="2" t="inlineStr">
        <is>
          <t>TC-CEPA-070-007</t>
        </is>
      </c>
      <c r="F216" s="2" t="inlineStr">
        <is>
          <t>RN-4</t>
        </is>
      </c>
    </row>
    <row r="217">
      <c r="A217" s="2" t="inlineStr">
        <is>
          <t>CEPA-070</t>
        </is>
      </c>
      <c r="B217" s="2" t="inlineStr">
        <is>
          <t>BR</t>
        </is>
      </c>
      <c r="C217" s="2" t="inlineStr">
        <is>
          <t>RN-6</t>
        </is>
      </c>
      <c r="D217" s="2" t="inlineStr">
        <is>
          <t>La LM se vincula al folio del paciente existente; no se crea LM sin folio asociado.</t>
        </is>
      </c>
      <c r="E217" s="2" t="inlineStr">
        <is>
          <t>TC-CEPA-070-008</t>
        </is>
      </c>
      <c r="F217" s="2" t="inlineStr">
        <is>
          <t>RN-6</t>
        </is>
      </c>
    </row>
    <row r="218">
      <c r="A218" s="2" t="inlineStr">
        <is>
          <t>CEPA-070</t>
        </is>
      </c>
      <c r="B218" s="2" t="inlineStr">
        <is>
          <t>BR</t>
        </is>
      </c>
      <c r="C218" s="2" t="inlineStr">
        <is>
          <t>RN-7</t>
        </is>
      </c>
      <c r="D218" s="2" t="inlineStr">
        <is>
          <t>Toda operación CRUD se registra en el log de auditoría (quién, qué, cuándo) — PRD §7.13.</t>
        </is>
      </c>
      <c r="E218" s="2" t="inlineStr">
        <is>
          <t>TC-CEPA-070-009</t>
        </is>
      </c>
      <c r="F218" s="2" t="inlineStr">
        <is>
          <t>RN-7</t>
        </is>
      </c>
    </row>
    <row r="219">
      <c r="A219" s="2" t="inlineStr">
        <is>
          <t>CEPA-070</t>
        </is>
      </c>
      <c r="B219" s="2" t="inlineStr">
        <is>
          <t>TC</t>
        </is>
      </c>
      <c r="C219" s="2" t="inlineStr">
        <is>
          <t>TC-070-06</t>
        </is>
      </c>
      <c r="D219" s="2" t="inlineStr">
        <is>
          <t>Usuario perfil Auditor intenta abrir/guardar formulario de nueva LM → acceso de solo lectura, creación denegada (RBAC).</t>
        </is>
      </c>
      <c r="E219" s="2" t="inlineStr">
        <is>
          <t>TC-CEPA-070-010</t>
        </is>
      </c>
      <c r="F219" s="2" t="inlineStr"/>
    </row>
    <row r="220">
      <c r="A220" s="2" t="inlineStr">
        <is>
          <t>CEPA-070</t>
        </is>
      </c>
      <c r="B220" s="2" t="inlineStr">
        <is>
          <t>PLANILLA</t>
        </is>
      </c>
      <c r="C220" s="2" t="inlineStr">
        <is>
          <t>Licencias Médicas</t>
        </is>
      </c>
      <c r="D220" s="2" t="inlineStr">
        <is>
          <t>Hoja 'Licencias Médicas' (15 columnas, 1584 filas): Región, Paciente, Rut, Folio, Días, Inicio, Termino, Tipo Reposo, Tipo LM, Envio a ISL, EEAG, Tipo LM2, Fecha Emisión LM, Observaciones, Columna1.</t>
        </is>
      </c>
      <c r="E220" s="2" t="inlineStr">
        <is>
          <t>TC-CEPA-070-011</t>
        </is>
      </c>
      <c r="F220" s="2" t="inlineStr">
        <is>
          <t>RN-1, RN-2</t>
        </is>
      </c>
    </row>
    <row r="221">
      <c r="A221" s="2" t="inlineStr">
        <is>
          <t>CEPA-070</t>
        </is>
      </c>
      <c r="B221" s="2" t="inlineStr">
        <is>
          <t>PLANILLA</t>
        </is>
      </c>
      <c r="C221" s="2" t="inlineStr">
        <is>
          <t>Licencias Médicas</t>
        </is>
      </c>
      <c r="D221" s="2" t="inlineStr">
        <is>
          <t>Columnas tipo lista de la hoja: Tipo Reposo, Tipo LM, Tipo LM2, Envio a ISL; EEAG con rango 1–100.</t>
        </is>
      </c>
      <c r="E221" s="2" t="inlineStr">
        <is>
          <t>TC-CEPA-070-012</t>
        </is>
      </c>
      <c r="F221" s="2" t="inlineStr">
        <is>
          <t>RN-3</t>
        </is>
      </c>
    </row>
    <row r="222">
      <c r="A222" s="2" t="inlineStr">
        <is>
          <t>CEPA-070</t>
        </is>
      </c>
      <c r="B222" s="2" t="inlineStr">
        <is>
          <t>PLANILLA</t>
        </is>
      </c>
      <c r="C222" s="2" t="inlineStr">
        <is>
          <t>Licencias Médicas</t>
        </is>
      </c>
      <c r="D222" s="2" t="inlineStr">
        <is>
          <t>La hoja tiene 1.584 filas históricas; el módulo debe contemplar paginación e indexación desde el inicio (RNF &lt;2 s).</t>
        </is>
      </c>
      <c r="E222" s="2" t="inlineStr">
        <is>
          <t>TC-CEPA-070-013</t>
        </is>
      </c>
      <c r="F222" s="2" t="inlineStr"/>
    </row>
    <row r="223">
      <c r="A223" s="2" t="inlineStr">
        <is>
          <t>CEPA-071</t>
        </is>
      </c>
      <c r="B223" s="2" t="inlineStr">
        <is>
          <t>AC</t>
        </is>
      </c>
      <c r="C223" s="2" t="inlineStr">
        <is>
          <t>CA-1</t>
        </is>
      </c>
      <c r="D223" s="2" t="inlineStr">
        <is>
          <t>Dado paciente con 3 LM previas, cuando guarda una nueva, entonces el sistema calcula el total acumulado sumando las 4 licencias y lo muestra en la vista del paciente.</t>
        </is>
      </c>
      <c r="E223" s="2" t="inlineStr">
        <is>
          <t>TC-CEPA-071-001</t>
        </is>
      </c>
      <c r="F223" s="2" t="inlineStr">
        <is>
          <t>RN-1, RN-2</t>
        </is>
      </c>
    </row>
    <row r="224">
      <c r="A224" s="2" t="inlineStr">
        <is>
          <t>CEPA-071</t>
        </is>
      </c>
      <c r="B224" s="2" t="inlineStr">
        <is>
          <t>AC</t>
        </is>
      </c>
      <c r="C224" s="2" t="inlineStr">
        <is>
          <t>CA-2</t>
        </is>
      </c>
      <c r="D224" s="2" t="inlineStr">
        <is>
          <t>Dado licencias extra-sistema registradas (v4 D7), cuando se calcula el acumulado, entonces también se suman al total marcadas como origen extra-sistema.</t>
        </is>
      </c>
      <c r="E224" s="2" t="inlineStr">
        <is>
          <t>TC-CEPA-071-002</t>
        </is>
      </c>
      <c r="F224" s="2" t="inlineStr">
        <is>
          <t>RN-1</t>
        </is>
      </c>
    </row>
    <row r="225">
      <c r="A225" s="2" t="inlineStr">
        <is>
          <t>CEPA-071</t>
        </is>
      </c>
      <c r="B225" s="2" t="inlineStr">
        <is>
          <t>AC</t>
        </is>
      </c>
      <c r="C225" s="2" t="inlineStr">
        <is>
          <t>CA-3</t>
        </is>
      </c>
      <c r="D225" s="2" t="inlineStr">
        <is>
          <t>Dado dos licencias solapadas en fechas, cuando se calcula el acumulado, entonces se aplica la regla de no doble-conteo de días calendario y se señala el solapamiento.</t>
        </is>
      </c>
      <c r="E225" s="2" t="inlineStr">
        <is>
          <t>TC-CEPA-071-003</t>
        </is>
      </c>
      <c r="F225" s="2" t="inlineStr">
        <is>
          <t>RN-3</t>
        </is>
      </c>
    </row>
    <row r="226">
      <c r="A226" s="2" t="inlineStr">
        <is>
          <t>CEPA-071</t>
        </is>
      </c>
      <c r="B226" s="2" t="inlineStr">
        <is>
          <t>BR</t>
        </is>
      </c>
      <c r="C226" s="2" t="inlineStr">
        <is>
          <t>RN-2</t>
        </is>
      </c>
      <c r="D226" s="2" t="inlineStr">
        <is>
          <t>El recálculo se dispara automáticamente al crear, editar o anular cualquier LM del paciente.</t>
        </is>
      </c>
      <c r="E226" s="2" t="inlineStr">
        <is>
          <t>TC-CEPA-071-004</t>
        </is>
      </c>
      <c r="F226" s="2" t="inlineStr">
        <is>
          <t>RN-2, RN-1</t>
        </is>
      </c>
    </row>
    <row r="227">
      <c r="A227" s="2" t="inlineStr">
        <is>
          <t>CEPA-071</t>
        </is>
      </c>
      <c r="B227" s="2" t="inlineStr">
        <is>
          <t>BR</t>
        </is>
      </c>
      <c r="C227" s="2" t="inlineStr">
        <is>
          <t>RN-4</t>
        </is>
      </c>
      <c r="D227" s="2" t="inlineStr">
        <is>
          <t>Una LM anulada/rechazada (ej. 77 BIS) se excluye del acumulado vigente pero se mantiene en el historial.</t>
        </is>
      </c>
      <c r="E227" s="2" t="inlineStr">
        <is>
          <t>TC-CEPA-071-005</t>
        </is>
      </c>
      <c r="F227" s="2" t="inlineStr">
        <is>
          <t>RN-4, RN-2</t>
        </is>
      </c>
    </row>
    <row r="228">
      <c r="A228" s="2" t="inlineStr">
        <is>
          <t>CEPA-071</t>
        </is>
      </c>
      <c r="B228" s="2" t="inlineStr">
        <is>
          <t>BR</t>
        </is>
      </c>
      <c r="C228" s="2" t="inlineStr">
        <is>
          <t>RN-5</t>
        </is>
      </c>
      <c r="D228" s="2" t="inlineStr">
        <is>
          <t>El acumulado se muestra en la vista consolidada del paciente y alimenta el reporte de LM acumuladas (PRD §7.9).</t>
        </is>
      </c>
      <c r="E228" s="2" t="inlineStr">
        <is>
          <t>TC-CEPA-071-006</t>
        </is>
      </c>
      <c r="F228" s="2" t="inlineStr">
        <is>
          <t>RN-5</t>
        </is>
      </c>
    </row>
    <row r="229">
      <c r="A229" s="2" t="inlineStr">
        <is>
          <t>CEPA-071</t>
        </is>
      </c>
      <c r="B229" s="2" t="inlineStr">
        <is>
          <t>BR</t>
        </is>
      </c>
      <c r="C229" s="2" t="inlineStr">
        <is>
          <t>RN-6</t>
        </is>
      </c>
      <c r="D229" s="2" t="inlineStr">
        <is>
          <t>Borde: paciente sin LM previas → acumulado = días de la primera LM registrada.</t>
        </is>
      </c>
      <c r="E229" s="2" t="inlineStr">
        <is>
          <t>TC-CEPA-071-007</t>
        </is>
      </c>
      <c r="F229" s="2" t="inlineStr">
        <is>
          <t>RN-6, RN-2</t>
        </is>
      </c>
    </row>
    <row r="230">
      <c r="A230" s="2" t="inlineStr">
        <is>
          <t>CEPA-071</t>
        </is>
      </c>
      <c r="B230" s="2" t="inlineStr">
        <is>
          <t>TC</t>
        </is>
      </c>
      <c r="C230" s="2" t="inlineStr">
        <is>
          <t>TC-071-06</t>
        </is>
      </c>
      <c r="D230" s="2" t="inlineStr">
        <is>
          <t>Usuario perfil Auditor visualiza acumulado → lectura permitida; sin posibilidad de editar LM que lo alteren.</t>
        </is>
      </c>
      <c r="E230" s="2" t="inlineStr">
        <is>
          <t>TC-CEPA-071-008</t>
        </is>
      </c>
      <c r="F230" s="2" t="inlineStr"/>
    </row>
    <row r="231">
      <c r="A231" s="2" t="inlineStr">
        <is>
          <t>CEPA-072</t>
        </is>
      </c>
      <c r="B231" s="2" t="inlineStr">
        <is>
          <t>AC</t>
        </is>
      </c>
      <c r="C231" s="2" t="inlineStr">
        <is>
          <t>CA-1</t>
        </is>
      </c>
      <c r="D231" s="2" t="inlineStr">
        <is>
          <t>Dado LM que vence en los próximos 3 días hábiles, cuando corre la revisión programada, entonces se genera alerta visible para el administrativo asignado.</t>
        </is>
      </c>
      <c r="E231" s="2" t="inlineStr">
        <is>
          <t>TC-CEPA-072-001</t>
        </is>
      </c>
      <c r="F231" s="2" t="inlineStr">
        <is>
          <t>RN-1, RN-2, RN-4, RN-6</t>
        </is>
      </c>
    </row>
    <row r="232">
      <c r="A232" s="2" t="inlineStr">
        <is>
          <t>CEPA-072</t>
        </is>
      </c>
      <c r="B232" s="2" t="inlineStr">
        <is>
          <t>AC</t>
        </is>
      </c>
      <c r="C232" s="2" t="inlineStr">
        <is>
          <t>CA-2</t>
        </is>
      </c>
      <c r="D232" s="2" t="inlineStr">
        <is>
          <t>Dado que la alerta se generó, cuando el administrativo asignado inicia sesión, entonces la ve en su panel de notificaciones in-app filtrado por rol y pacientes asignados.</t>
        </is>
      </c>
      <c r="E232" s="2" t="inlineStr">
        <is>
          <t>TC-CEPA-072-002</t>
        </is>
      </c>
      <c r="F232" s="2" t="inlineStr">
        <is>
          <t>RN-2, RN-3</t>
        </is>
      </c>
    </row>
    <row r="233">
      <c r="A233" s="2" t="inlineStr">
        <is>
          <t>CEPA-072</t>
        </is>
      </c>
      <c r="B233" s="2" t="inlineStr">
        <is>
          <t>AC</t>
        </is>
      </c>
      <c r="C233" s="2" t="inlineStr">
        <is>
          <t>CA-3</t>
        </is>
      </c>
      <c r="D233" s="2" t="inlineStr">
        <is>
          <t>Dado LM ya vencida o anulada, cuando corre la revisión de alertas, entonces no se genera ni se mantiene alerta de 'por vencer'.</t>
        </is>
      </c>
      <c r="E233" s="2" t="inlineStr">
        <is>
          <t>TC-CEPA-072-003</t>
        </is>
      </c>
      <c r="F233" s="2" t="inlineStr">
        <is>
          <t>RN-5</t>
        </is>
      </c>
    </row>
    <row r="234">
      <c r="A234" s="2" t="inlineStr">
        <is>
          <t>CEPA-072</t>
        </is>
      </c>
      <c r="B234" s="2" t="inlineStr">
        <is>
          <t>BR</t>
        </is>
      </c>
      <c r="C234" s="2" t="inlineStr">
        <is>
          <t>RN-1</t>
        </is>
      </c>
      <c r="D234" s="2" t="inlineStr">
        <is>
          <t>Umbral: la LM vence dentro de 3 días hábiles (excluye sábados, domingos y festivos) desde la fecha de ejecución de la revisión.</t>
        </is>
      </c>
      <c r="E234" s="2" t="inlineStr">
        <is>
          <t>TC-CEPA-072-004</t>
        </is>
      </c>
      <c r="F234" s="2" t="inlineStr">
        <is>
          <t>RN-1</t>
        </is>
      </c>
    </row>
    <row r="235">
      <c r="A235" s="2" t="inlineStr">
        <is>
          <t>CEPA-072</t>
        </is>
      </c>
      <c r="B235" s="2" t="inlineStr">
        <is>
          <t>BR</t>
        </is>
      </c>
      <c r="C235" s="2" t="inlineStr">
        <is>
          <t>RN-2</t>
        </is>
      </c>
      <c r="D235" s="2" t="inlineStr">
        <is>
          <t>El destinatario es el administrativo asignado al caso/paciente; por v4 D1 no se notifica a clínicos.</t>
        </is>
      </c>
      <c r="E235" s="2" t="inlineStr">
        <is>
          <t>TC-CEPA-072-005</t>
        </is>
      </c>
      <c r="F235" s="2" t="inlineStr">
        <is>
          <t>RN-2</t>
        </is>
      </c>
    </row>
    <row r="236">
      <c r="A236" s="2" t="inlineStr">
        <is>
          <t>CEPA-072</t>
        </is>
      </c>
      <c r="B236" s="2" t="inlineStr">
        <is>
          <t>BR</t>
        </is>
      </c>
      <c r="C236" s="2" t="inlineStr">
        <is>
          <t>RN-4</t>
        </is>
      </c>
      <c r="D236" s="2" t="inlineStr">
        <is>
          <t>Job diario idempotente: no duplica la alerta si ya existe una activa para la misma LM (alinear con EPIC-10).</t>
        </is>
      </c>
      <c r="E236" s="2" t="inlineStr">
        <is>
          <t>TC-CEPA-072-006</t>
        </is>
      </c>
      <c r="F236" s="2" t="inlineStr">
        <is>
          <t>RN-4</t>
        </is>
      </c>
    </row>
    <row r="237">
      <c r="A237" s="2" t="inlineStr">
        <is>
          <t>CEPA-072</t>
        </is>
      </c>
      <c r="B237" s="2" t="inlineStr">
        <is>
          <t>BR</t>
        </is>
      </c>
      <c r="C237" s="2" t="inlineStr">
        <is>
          <t>RN-6</t>
        </is>
      </c>
      <c r="D237" s="2" t="inlineStr">
        <is>
          <t>Meta de negocio: 0% de vencimientos de licencia sin alerta previa (OU4, PRD §3.1).</t>
        </is>
      </c>
      <c r="E237" s="2" t="inlineStr">
        <is>
          <t>TC-CEPA-072-007</t>
        </is>
      </c>
      <c r="F237" s="2" t="inlineStr">
        <is>
          <t>RN-6, RN-1, RN-4</t>
        </is>
      </c>
    </row>
    <row r="238">
      <c r="A238" s="2" t="inlineStr">
        <is>
          <t>CEPA-072</t>
        </is>
      </c>
      <c r="B238" s="2" t="inlineStr">
        <is>
          <t>TC</t>
        </is>
      </c>
      <c r="C238" s="2" t="inlineStr">
        <is>
          <t>TC-072-06</t>
        </is>
      </c>
      <c r="D238" s="2" t="inlineStr">
        <is>
          <t>Perfil Clínico sin acceso al sistema (v4 D1): confirmado que no existe destinatario clínico; alerta solo administrativa.</t>
        </is>
      </c>
      <c r="E238" s="2" t="inlineStr">
        <is>
          <t>TC-CEPA-072-008</t>
        </is>
      </c>
      <c r="F238" s="2" t="inlineStr">
        <is>
          <t>RN-2</t>
        </is>
      </c>
    </row>
    <row r="239">
      <c r="A239" s="2" t="inlineStr">
        <is>
          <t>CEPA-073</t>
        </is>
      </c>
      <c r="B239" s="2" t="inlineStr">
        <is>
          <t>AC</t>
        </is>
      </c>
      <c r="C239" s="2" t="inlineStr">
        <is>
          <t>CA-1</t>
        </is>
      </c>
      <c r="D239" s="2" t="inlineStr">
        <is>
          <t>Dado LM laboral registrada, cuando el administrativo marca el envío a ISL con estado y fecha, entonces la LM refleja estado (pendiente/enviado/rechazado) y fecha en el historial.</t>
        </is>
      </c>
      <c r="E239" s="2" t="inlineStr">
        <is>
          <t>TC-CEPA-073-001</t>
        </is>
      </c>
      <c r="F239" s="2" t="inlineStr">
        <is>
          <t>RN-1, RN-2, RN-7</t>
        </is>
      </c>
    </row>
    <row r="240">
      <c r="A240" s="2" t="inlineStr">
        <is>
          <t>CEPA-073</t>
        </is>
      </c>
      <c r="B240" s="2" t="inlineStr">
        <is>
          <t>AC</t>
        </is>
      </c>
      <c r="C240" s="2" t="inlineStr">
        <is>
          <t>CA-2</t>
        </is>
      </c>
      <c r="D240" s="2" t="inlineStr">
        <is>
          <t>Dado que registra EEAG/GAF, fecha de emisión y observaciones, cuando guarda, entonces quedan asociados a la LM y disponibles para auditoría.</t>
        </is>
      </c>
      <c r="E240" s="2" t="inlineStr">
        <is>
          <t>TC-CEPA-073-002</t>
        </is>
      </c>
      <c r="F240" s="2" t="inlineStr">
        <is>
          <t>RN-1, RN-7</t>
        </is>
      </c>
    </row>
    <row r="241">
      <c r="A241" s="2" t="inlineStr">
        <is>
          <t>CEPA-073</t>
        </is>
      </c>
      <c r="B241" s="2" t="inlineStr">
        <is>
          <t>AC</t>
        </is>
      </c>
      <c r="C241" s="2" t="inlineStr">
        <is>
          <t>CA-3</t>
        </is>
      </c>
      <c r="D241" s="2" t="inlineStr">
        <is>
          <t>Dado una LM extra-sistema del paciente (v4 D7), cuando se registra marcada como extra-sistema, entonces aparece en el historial completo y se incluye en los días acumulados.</t>
        </is>
      </c>
      <c r="E241" s="2" t="inlineStr">
        <is>
          <t>TC-CEPA-073-003</t>
        </is>
      </c>
      <c r="F241" s="2" t="inlineStr">
        <is>
          <t>RN-3, RN-4</t>
        </is>
      </c>
    </row>
    <row r="242">
      <c r="A242" s="2" t="inlineStr">
        <is>
          <t>CEPA-073</t>
        </is>
      </c>
      <c r="B242" s="2" t="inlineStr">
        <is>
          <t>AC</t>
        </is>
      </c>
      <c r="C242" s="2" t="inlineStr">
        <is>
          <t>CA-4</t>
        </is>
      </c>
      <c r="D242" s="2" t="inlineStr">
        <is>
          <t>Dado un auditor consultando un caso, cuando abre el historial de LM, entonces ve todas las licencias con su trazabilidad ISL en modo solo lectura.</t>
        </is>
      </c>
      <c r="E242" s="2" t="inlineStr">
        <is>
          <t>TC-CEPA-073-004</t>
        </is>
      </c>
      <c r="F242" s="2" t="inlineStr">
        <is>
          <t>RN-3, RN-6</t>
        </is>
      </c>
    </row>
    <row r="243">
      <c r="A243" s="2" t="inlineStr">
        <is>
          <t>CEPA-073</t>
        </is>
      </c>
      <c r="B243" s="2" t="inlineStr">
        <is>
          <t>BR</t>
        </is>
      </c>
      <c r="C243" s="2" t="inlineStr">
        <is>
          <t>RN-2</t>
        </is>
      </c>
      <c r="D243" s="2" t="inlineStr">
        <is>
          <t>Estados de envío ISL {pendiente, enviado, rechazado}; fecha_envio_ISL obligatoria cuando estado = enviado o rechazado.</t>
        </is>
      </c>
      <c r="E243" s="2" t="inlineStr">
        <is>
          <t>TC-CEPA-073-005</t>
        </is>
      </c>
      <c r="F243" s="2" t="inlineStr">
        <is>
          <t>RN-2</t>
        </is>
      </c>
    </row>
    <row r="244">
      <c r="A244" s="2" t="inlineStr">
        <is>
          <t>CEPA-073</t>
        </is>
      </c>
      <c r="B244" s="2" t="inlineStr">
        <is>
          <t>BR</t>
        </is>
      </c>
      <c r="C244" s="2" t="inlineStr">
        <is>
          <t>RN-1</t>
        </is>
      </c>
      <c r="D244" s="2" t="inlineStr">
        <is>
          <t>Campos de gestión §7.7.2: envio_ISL (estado + fecha), EEAG_GAF (1–100), fecha_emision, observaciones.</t>
        </is>
      </c>
      <c r="E244" s="2" t="inlineStr">
        <is>
          <t>TC-CEPA-073-006</t>
        </is>
      </c>
      <c r="F244" s="2" t="inlineStr">
        <is>
          <t>RN-1</t>
        </is>
      </c>
    </row>
    <row r="245">
      <c r="A245" s="2" t="inlineStr">
        <is>
          <t>CEPA-073</t>
        </is>
      </c>
      <c r="B245" s="2" t="inlineStr">
        <is>
          <t>BR</t>
        </is>
      </c>
      <c r="C245" s="2" t="inlineStr">
        <is>
          <t>RN-3</t>
        </is>
      </c>
      <c r="D245" s="2" t="inlineStr">
        <is>
          <t>El historial completo (§7.7.3) lista todas las LM del folio ordenadas cronológicamente con origen, estado de envío y diagnóstico.</t>
        </is>
      </c>
      <c r="E245" s="2" t="inlineStr">
        <is>
          <t>TC-CEPA-073-007</t>
        </is>
      </c>
      <c r="F245" s="2" t="inlineStr">
        <is>
          <t>RN-3</t>
        </is>
      </c>
    </row>
    <row r="246">
      <c r="A246" s="2" t="inlineStr">
        <is>
          <t>CEPA-073</t>
        </is>
      </c>
      <c r="B246" s="2" t="inlineStr">
        <is>
          <t>BR</t>
        </is>
      </c>
      <c r="C246" s="2" t="inlineStr">
        <is>
          <t>RN-4</t>
        </is>
      </c>
      <c r="D246" s="2" t="inlineStr">
        <is>
          <t>Las licencias extra-sistema (v4 D7) se distinguen con marca de origen; su estado ISL puede quedar como 'no aplica / externo'.</t>
        </is>
      </c>
      <c r="E246" s="2" t="inlineStr">
        <is>
          <t>TC-CEPA-073-008</t>
        </is>
      </c>
      <c r="F246" s="2" t="inlineStr">
        <is>
          <t>RN-4</t>
        </is>
      </c>
    </row>
    <row r="247">
      <c r="A247" s="2" t="inlineStr">
        <is>
          <t>CEPA-073</t>
        </is>
      </c>
      <c r="B247" s="2" t="inlineStr">
        <is>
          <t>BR</t>
        </is>
      </c>
      <c r="C247" s="2" t="inlineStr">
        <is>
          <t>RN-5</t>
        </is>
      </c>
      <c r="D247" s="2" t="inlineStr">
        <is>
          <t>Un rechazo por 77 BIS se refleja en estado y observaciones y dispara la exclusión del acumulado vigente (coordinado con CEPA-071 RN-4).</t>
        </is>
      </c>
      <c r="E247" s="2" t="inlineStr">
        <is>
          <t>TC-CEPA-073-009</t>
        </is>
      </c>
      <c r="F247" s="2" t="inlineStr">
        <is>
          <t>RN-5, RN-7</t>
        </is>
      </c>
    </row>
    <row r="248">
      <c r="A248" s="2" t="inlineStr">
        <is>
          <t>CEPA-073</t>
        </is>
      </c>
      <c r="B248" s="2" t="inlineStr">
        <is>
          <t>BR</t>
        </is>
      </c>
      <c r="C248" s="2" t="inlineStr">
        <is>
          <t>RN-6</t>
        </is>
      </c>
      <c r="D248" s="2" t="inlineStr">
        <is>
          <t>Solo perfiles con CRUD (Administrativo, Coordinación) editan la trazabilidad; Auditor es solo lectura (PRD §5.3).</t>
        </is>
      </c>
      <c r="E248" s="2" t="inlineStr">
        <is>
          <t>TC-CEPA-073-010</t>
        </is>
      </c>
      <c r="F248" s="2" t="inlineStr">
        <is>
          <t>RN-6</t>
        </is>
      </c>
    </row>
    <row r="249">
      <c r="A249" s="2" t="inlineStr">
        <is>
          <t>CEPA-073</t>
        </is>
      </c>
      <c r="B249" s="2" t="inlineStr">
        <is>
          <t>BR</t>
        </is>
      </c>
      <c r="C249" s="2" t="inlineStr">
        <is>
          <t>RN-7</t>
        </is>
      </c>
      <c r="D249" s="2" t="inlineStr">
        <is>
          <t>Toda actualización de trazabilidad se registra en el log de auditoría.</t>
        </is>
      </c>
      <c r="E249" s="2" t="inlineStr">
        <is>
          <t>TC-CEPA-073-011</t>
        </is>
      </c>
      <c r="F249" s="2" t="inlineStr">
        <is>
          <t>RN-7</t>
        </is>
      </c>
    </row>
    <row r="250">
      <c r="A250" s="2" t="inlineStr">
        <is>
          <t>CEPA-080</t>
        </is>
      </c>
      <c r="B250" s="2" t="inlineStr">
        <is>
          <t>AC</t>
        </is>
      </c>
      <c r="C250" s="2" t="inlineStr">
        <is>
          <t>CA-1</t>
        </is>
      </c>
      <c r="D250" s="2" t="inlineStr">
        <is>
          <t>Dado profesional y día hábil, cuando se solicita propuesta diaria, entonces lista ordenada de candidatos dentro de disponibilidad y cupo, excluyendo reposo y priorizando controles/recetas.</t>
        </is>
      </c>
      <c r="E250" s="2" t="inlineStr">
        <is>
          <t>TC-CEPA-080-001</t>
        </is>
      </c>
      <c r="F250" s="2" t="inlineStr">
        <is>
          <t>RN-2, RN-3, RN-4</t>
        </is>
      </c>
    </row>
    <row r="251">
      <c r="A251" s="2" t="inlineStr">
        <is>
          <t>CEPA-080</t>
        </is>
      </c>
      <c r="B251" s="2" t="inlineStr">
        <is>
          <t>AC</t>
        </is>
      </c>
      <c r="C251" s="2" t="inlineStr">
        <is>
          <t>CA-2</t>
        </is>
      </c>
      <c r="D251" s="2" t="inlineStr">
        <is>
          <t>Dado profesional y semana objetivo, cuando se solicita propuesta semanal, entonces candidatos distribuidos en días hábiles respetando cupo, sin reposo y balanceando carga.</t>
        </is>
      </c>
      <c r="E251" s="2" t="inlineStr">
        <is>
          <t>TC-CEPA-080-002</t>
        </is>
      </c>
      <c r="F251" s="2" t="inlineStr">
        <is>
          <t>RN-3, RN-4</t>
        </is>
      </c>
    </row>
    <row r="252">
      <c r="A252" s="2" t="inlineStr">
        <is>
          <t>CEPA-080</t>
        </is>
      </c>
      <c r="B252" s="2" t="inlineStr">
        <is>
          <t>AC</t>
        </is>
      </c>
      <c r="C252" s="2" t="inlineStr">
        <is>
          <t>CA-3</t>
        </is>
      </c>
      <c r="D252" s="2" t="inlineStr">
        <is>
          <t>Dado profesional y mes objetivo, cuando se solicita propuesta mensual, entonces propuesta consolidada por semanas respetando disponibilidad y periodicidad, con vencidos en prioridad alta.</t>
        </is>
      </c>
      <c r="E252" s="2" t="inlineStr">
        <is>
          <t>TC-CEPA-080-003</t>
        </is>
      </c>
      <c r="F252" s="2" t="inlineStr">
        <is>
          <t>RN-2, RN-4</t>
        </is>
      </c>
    </row>
    <row r="253">
      <c r="A253" s="2" t="inlineStr">
        <is>
          <t>CEPA-080</t>
        </is>
      </c>
      <c r="B253" s="2" t="inlineStr">
        <is>
          <t>AC</t>
        </is>
      </c>
      <c r="C253" s="2" t="inlineStr">
        <is>
          <t>CA-4</t>
        </is>
      </c>
      <c r="D253" s="2" t="inlineStr">
        <is>
          <t>Dado paciente con reposo que incluye la fecha candidata, cuando se arma cualquier propuesta, entonces no es propuesto y se indica 'reposo vigente hasta dd/mm/aaaa'.</t>
        </is>
      </c>
      <c r="E253" s="2" t="inlineStr">
        <is>
          <t>TC-CEPA-080-004</t>
        </is>
      </c>
      <c r="F253" s="2" t="inlineStr">
        <is>
          <t>RN-1, RN-5</t>
        </is>
      </c>
    </row>
    <row r="254">
      <c r="A254" s="2" t="inlineStr">
        <is>
          <t>CEPA-080</t>
        </is>
      </c>
      <c r="B254" s="2" t="inlineStr">
        <is>
          <t>AC</t>
        </is>
      </c>
      <c r="C254" s="2" t="inlineStr">
        <is>
          <t>CA-5</t>
        </is>
      </c>
      <c r="D254" s="2" t="inlineStr">
        <is>
          <t>Dado paciente con próximo control en la ventana, cuando se genera la propuesta, entonces se incluye y prioriza; vencido sobre próximo, mostrando fecha y estado.</t>
        </is>
      </c>
      <c r="E254" s="2" t="inlineStr">
        <is>
          <t>TC-CEPA-080-005</t>
        </is>
      </c>
      <c r="F254" s="2" t="inlineStr">
        <is>
          <t>RN-2</t>
        </is>
      </c>
    </row>
    <row r="255">
      <c r="A255" s="2" t="inlineStr">
        <is>
          <t>CEPA-080</t>
        </is>
      </c>
      <c r="B255" s="2" t="inlineStr">
        <is>
          <t>AC</t>
        </is>
      </c>
      <c r="C255" s="2" t="inlineStr">
        <is>
          <t>CA-6</t>
        </is>
      </c>
      <c r="D255" s="2" t="inlineStr">
        <is>
          <t>Dado paciente con receta reciente que requiere seguimiento, cuando se genera la propuesta, entonces se incluye con etiqueta 'seguimiento de receta' salvo reposo vigente.</t>
        </is>
      </c>
      <c r="E255" s="2" t="inlineStr">
        <is>
          <t>TC-CEPA-080-006</t>
        </is>
      </c>
      <c r="F255" s="2" t="inlineStr">
        <is>
          <t>RN-1, RN-6</t>
        </is>
      </c>
    </row>
    <row r="256">
      <c r="A256" s="2" t="inlineStr">
        <is>
          <t>CEPA-080</t>
        </is>
      </c>
      <c r="B256" s="2" t="inlineStr">
        <is>
          <t>AC</t>
        </is>
      </c>
      <c r="C256" s="2" t="inlineStr">
        <is>
          <t>CA-7</t>
        </is>
      </c>
      <c r="D256" s="2" t="inlineStr">
        <is>
          <t>Dado una propuesta generada, cuando el usuario confirma citas, entonces quedan agendadas y cuentan como 'citas agendadas' para adherencia; las descartadas no generan cita.</t>
        </is>
      </c>
      <c r="E256" s="2" t="inlineStr">
        <is>
          <t>TC-CEPA-080-007</t>
        </is>
      </c>
      <c r="F256" s="2" t="inlineStr">
        <is>
          <t>RN-8</t>
        </is>
      </c>
    </row>
    <row r="257">
      <c r="A257" s="2" t="inlineStr">
        <is>
          <t>CEPA-080</t>
        </is>
      </c>
      <c r="B257" s="2" t="inlineStr">
        <is>
          <t>AC</t>
        </is>
      </c>
      <c r="C257" s="2" t="inlineStr">
        <is>
          <t>CA-8</t>
        </is>
      </c>
      <c r="D257" s="2" t="inlineStr">
        <is>
          <t>Dado un usuario autenticado, cuando intenta generar/confirmar, entonces solo Administrativo y Coordinación pueden; Auditor solo lectura; otro acceso denegado.</t>
        </is>
      </c>
      <c r="E257" s="2" t="inlineStr">
        <is>
          <t>TC-CEPA-080-008</t>
        </is>
      </c>
      <c r="F257" s="2" t="inlineStr">
        <is>
          <t>RN-7</t>
        </is>
      </c>
    </row>
    <row r="258">
      <c r="A258" s="2" t="inlineStr">
        <is>
          <t>CEPA-080</t>
        </is>
      </c>
      <c r="B258" s="2" t="inlineStr">
        <is>
          <t>BR</t>
        </is>
      </c>
      <c r="C258" s="2" t="inlineStr">
        <is>
          <t>RN-1</t>
        </is>
      </c>
      <c r="D258" s="2" t="inlineStr">
        <is>
          <t>Nunca se propone cita en día con reposo vigente; la exclusión por reposo prevalece sobre cualquier criterio de inclusión (control o receta).</t>
        </is>
      </c>
      <c r="E258" s="2" t="inlineStr">
        <is>
          <t>TC-CEPA-080-009</t>
        </is>
      </c>
      <c r="F258" s="2" t="inlineStr">
        <is>
          <t>RN-1, RN-6</t>
        </is>
      </c>
    </row>
    <row r="259">
      <c r="A259" s="2" t="inlineStr">
        <is>
          <t>CEPA-080</t>
        </is>
      </c>
      <c r="B259" s="2" t="inlineStr">
        <is>
          <t>BR</t>
        </is>
      </c>
      <c r="C259" s="2" t="inlineStr">
        <is>
          <t>RN-2</t>
        </is>
      </c>
      <c r="D259" s="2" t="inlineStr">
        <is>
          <t>Prioridad: (1) control vencido, (2) control próximo, (3) receta con seguimiento; a igual prioridad, más antiguo primero.</t>
        </is>
      </c>
      <c r="E259" s="2" t="inlineStr">
        <is>
          <t>TC-CEPA-080-010</t>
        </is>
      </c>
      <c r="F259" s="2" t="inlineStr">
        <is>
          <t>RN-2</t>
        </is>
      </c>
    </row>
    <row r="260">
      <c r="A260" s="2" t="inlineStr">
        <is>
          <t>CEPA-080</t>
        </is>
      </c>
      <c r="B260" s="2" t="inlineStr">
        <is>
          <t>BR</t>
        </is>
      </c>
      <c r="C260" s="2" t="inlineStr">
        <is>
          <t>RN-3</t>
        </is>
      </c>
      <c r="D260" s="2" t="inlineStr">
        <is>
          <t>La propuesta nunca excede el cupo diario del profesional; el exceso se difiere al siguiente día/semana hábil disponible.</t>
        </is>
      </c>
      <c r="E260" s="2" t="inlineStr">
        <is>
          <t>TC-CEPA-080-011</t>
        </is>
      </c>
      <c r="F260" s="2" t="inlineStr">
        <is>
          <t>RN-2, RN-3, RN-4</t>
        </is>
      </c>
    </row>
    <row r="261">
      <c r="A261" s="2" t="inlineStr">
        <is>
          <t>CEPA-080</t>
        </is>
      </c>
      <c r="B261" s="2" t="inlineStr">
        <is>
          <t>BR</t>
        </is>
      </c>
      <c r="C261" s="2" t="inlineStr">
        <is>
          <t>RN-4</t>
        </is>
      </c>
      <c r="D261" s="2" t="inlineStr">
        <is>
          <t>Solo días hábiles (lun–vie) y bloques de disponibilidad del profesional; nunca fines de semana ni fuera de disponibilidad.</t>
        </is>
      </c>
      <c r="E261" s="2" t="inlineStr">
        <is>
          <t>TC-CEPA-080-012</t>
        </is>
      </c>
      <c r="F261" s="2" t="inlineStr">
        <is>
          <t>RN-3, RN-4</t>
        </is>
      </c>
    </row>
    <row r="262">
      <c r="A262" s="2" t="inlineStr">
        <is>
          <t>CEPA-080</t>
        </is>
      </c>
      <c r="B262" s="2" t="inlineStr">
        <is>
          <t>BR</t>
        </is>
      </c>
      <c r="C262" s="2" t="inlineStr">
        <is>
          <t>RN-5</t>
        </is>
      </c>
      <c r="D262" s="2" t="inlineStr">
        <is>
          <t>El reposo vigente se evalúa contra la fecha candidata, no contra la fecha de generación; la propuesta mensual excluye reposo día a día.</t>
        </is>
      </c>
      <c r="E262" s="2" t="inlineStr">
        <is>
          <t>TC-CEPA-080-013</t>
        </is>
      </c>
      <c r="F262" s="2" t="inlineStr">
        <is>
          <t>RN-1, RN-5</t>
        </is>
      </c>
    </row>
    <row r="263">
      <c r="A263" s="2" t="inlineStr">
        <is>
          <t>CEPA-080</t>
        </is>
      </c>
      <c r="B263" s="2" t="inlineStr">
        <is>
          <t>BR</t>
        </is>
      </c>
      <c r="C263" s="2" t="inlineStr">
        <is>
          <t>RN-6</t>
        </is>
      </c>
      <c r="D263" s="2" t="inlineStr">
        <is>
          <t>'Receta reciente que requiere seguimiento' se determina por fecha dentro de ventana parametrizable; recetas gestionadas/cerradas no generan candidatura.</t>
        </is>
      </c>
      <c r="E263" s="2" t="inlineStr">
        <is>
          <t>TC-CEPA-080-014</t>
        </is>
      </c>
      <c r="F263" s="2" t="inlineStr">
        <is>
          <t>RN-6</t>
        </is>
      </c>
    </row>
    <row r="264">
      <c r="A264" s="2" t="inlineStr">
        <is>
          <t>CEPA-080</t>
        </is>
      </c>
      <c r="B264" s="2" t="inlineStr">
        <is>
          <t>BR</t>
        </is>
      </c>
      <c r="C264" s="2" t="inlineStr">
        <is>
          <t>RN-8</t>
        </is>
      </c>
      <c r="D264" s="2" t="inlineStr">
        <is>
          <t>Cada cita agendada desde propuesta confirmada incrementa el denominador 'citas agendadas'; la realización efectiva alimenta el numerador 'citas realizadas' (D5).</t>
        </is>
      </c>
      <c r="E264" s="2" t="inlineStr">
        <is>
          <t>TC-CEPA-080-015</t>
        </is>
      </c>
      <c r="F264" s="2" t="inlineStr">
        <is>
          <t>RN-8</t>
        </is>
      </c>
    </row>
    <row r="265">
      <c r="A265" s="2" t="inlineStr">
        <is>
          <t>CEPA-080</t>
        </is>
      </c>
      <c r="B265" s="2" t="inlineStr">
        <is>
          <t>BR</t>
        </is>
      </c>
      <c r="C265" s="2" t="inlineStr">
        <is>
          <t>RN-9</t>
        </is>
      </c>
      <c r="D265" s="2" t="inlineStr">
        <is>
          <t>Toda generación y confirmación de propuesta queda registrada en el log de auditoría (quién, qué profesional/paciente, cuándo) — PRD §7.13.</t>
        </is>
      </c>
      <c r="E265" s="2" t="inlineStr">
        <is>
          <t>TC-CEPA-080-016</t>
        </is>
      </c>
      <c r="F265" s="2" t="inlineStr">
        <is>
          <t>RN-9</t>
        </is>
      </c>
    </row>
    <row r="266">
      <c r="A266" s="2" t="inlineStr">
        <is>
          <t>CEPA-080</t>
        </is>
      </c>
      <c r="B266" s="2" t="inlineStr">
        <is>
          <t>TC</t>
        </is>
      </c>
      <c r="C266" s="2" t="inlineStr">
        <is>
          <t>TC-080-10</t>
        </is>
      </c>
      <c r="D266" s="2" t="inlineStr">
        <is>
          <t>Con volúmenes objetivo (1.500+ licencias, 800+ ingresos, 500+ recetas/año, ~25 profesionales), la propuesta mensual se genera en &lt; 2 s excluyendo reposo día a día.</t>
        </is>
      </c>
      <c r="E266" s="2" t="inlineStr">
        <is>
          <t>TC-CEPA-080-017</t>
        </is>
      </c>
      <c r="F266" s="2" t="inlineStr">
        <is>
          <t>RN-1, RN-5</t>
        </is>
      </c>
    </row>
    <row r="267">
      <c r="A267" s="2" t="inlineStr">
        <is>
          <t>CEPA-090</t>
        </is>
      </c>
      <c r="B267" s="2" t="inlineStr">
        <is>
          <t>AC</t>
        </is>
      </c>
      <c r="C267" s="2" t="inlineStr">
        <is>
          <t>CA-1</t>
        </is>
      </c>
      <c r="D267" s="2" t="inlineStr">
        <is>
          <t>Dado que la coordinadora abre el dashboard, cuando la vista carga, entonces muestra indicadores agregados de todos los programas en tiempo real.</t>
        </is>
      </c>
      <c r="E267" s="2" t="inlineStr">
        <is>
          <t>TC-CEPA-090-001</t>
        </is>
      </c>
      <c r="F267" s="2" t="inlineStr">
        <is>
          <t>RN-1, RN-4</t>
        </is>
      </c>
    </row>
    <row r="268">
      <c r="A268" s="2" t="inlineStr">
        <is>
          <t>CEPA-090</t>
        </is>
      </c>
      <c r="B268" s="2" t="inlineStr">
        <is>
          <t>AC</t>
        </is>
      </c>
      <c r="C268" s="2" t="inlineStr">
        <is>
          <t>CA-2</t>
        </is>
      </c>
      <c r="D268" s="2" t="inlineStr">
        <is>
          <t>Dado que la coordinadora aplica uno o varios filtros, cuando confirma, entonces todos los indicadores se recalculan al recorte seleccionado.</t>
        </is>
      </c>
      <c r="E268" s="2" t="inlineStr">
        <is>
          <t>TC-CEPA-090-002</t>
        </is>
      </c>
      <c r="F268" s="2" t="inlineStr">
        <is>
          <t>RN-2, RN-3</t>
        </is>
      </c>
    </row>
    <row r="269">
      <c r="A269" s="2" t="inlineStr">
        <is>
          <t>CEPA-090</t>
        </is>
      </c>
      <c r="B269" s="2" t="inlineStr">
        <is>
          <t>AC</t>
        </is>
      </c>
      <c r="C269" s="2" t="inlineStr">
        <is>
          <t>CA-3</t>
        </is>
      </c>
      <c r="D269" s="2" t="inlineStr">
        <is>
          <t>Dado un volumen de producción, cuando se carga o filtra el dashboard, entonces el resultado se presenta en menos de 10 segundos (OU3).</t>
        </is>
      </c>
      <c r="E269" s="2" t="inlineStr">
        <is>
          <t>TC-CEPA-090-003</t>
        </is>
      </c>
      <c r="F269" s="2" t="inlineStr">
        <is>
          <t>RN-5</t>
        </is>
      </c>
    </row>
    <row r="270">
      <c r="A270" s="2" t="inlineStr">
        <is>
          <t>CEPA-090</t>
        </is>
      </c>
      <c r="B270" s="2" t="inlineStr">
        <is>
          <t>AC</t>
        </is>
      </c>
      <c r="C270" s="2" t="inlineStr">
        <is>
          <t>CA-4</t>
        </is>
      </c>
      <c r="D270" s="2" t="inlineStr">
        <is>
          <t>Dado un usuario Administrativo o Auditor, cuando accede al dashboard, entonces ve los indicadores en solo lectura sin configuración ni edición.</t>
        </is>
      </c>
      <c r="E270" s="2" t="inlineStr">
        <is>
          <t>TC-CEPA-090-004</t>
        </is>
      </c>
      <c r="F270" s="2" t="inlineStr">
        <is>
          <t>RN-6</t>
        </is>
      </c>
    </row>
    <row r="271">
      <c r="A271" s="2" t="inlineStr">
        <is>
          <t>CEPA-090</t>
        </is>
      </c>
      <c r="B271" s="2" t="inlineStr">
        <is>
          <t>BR</t>
        </is>
      </c>
      <c r="C271" s="2" t="inlineStr">
        <is>
          <t>RN-7</t>
        </is>
      </c>
      <c r="D271" s="2" t="inlineStr">
        <is>
          <t>Cada métrica del dashboard debe pasar el QA de métricas (validación de resultado y de proceso — D5); no se publica sin validación.</t>
        </is>
      </c>
      <c r="E271" s="2" t="inlineStr">
        <is>
          <t>TC-CEPA-090-005</t>
        </is>
      </c>
      <c r="F271" s="2" t="inlineStr">
        <is>
          <t>RN-7</t>
        </is>
      </c>
    </row>
    <row r="272">
      <c r="A272" s="2" t="inlineStr">
        <is>
          <t>CEPA-090</t>
        </is>
      </c>
      <c r="B272" s="2" t="inlineStr">
        <is>
          <t>TC</t>
        </is>
      </c>
      <c r="C272" s="2" t="inlineStr">
        <is>
          <t>TC-090-04</t>
        </is>
      </c>
      <c r="D272" s="2" t="inlineStr">
        <is>
          <t>Aplicar combinación de filtros sin datos → estado vacío explícito, sin error ni cifras erróneas.</t>
        </is>
      </c>
      <c r="E272" s="2" t="inlineStr">
        <is>
          <t>TC-CEPA-090-006</t>
        </is>
      </c>
      <c r="F272" s="2" t="inlineStr">
        <is>
          <t>RN-3</t>
        </is>
      </c>
    </row>
    <row r="273">
      <c r="A273" s="2" t="inlineStr">
        <is>
          <t>CEPA-091</t>
        </is>
      </c>
      <c r="B273" s="2" t="inlineStr">
        <is>
          <t>AC</t>
        </is>
      </c>
      <c r="C273" s="2" t="inlineStr">
        <is>
          <t>CA-1</t>
        </is>
      </c>
      <c r="D273" s="2" t="inlineStr">
        <is>
          <t>Dado período y filtros definidos, cuando genera el reporte operativo, entonces produce cifras de citas, atenciones, inasistencias y anulaciones del recorte.</t>
        </is>
      </c>
      <c r="E273" s="2" t="inlineStr">
        <is>
          <t>TC-CEPA-091-001</t>
        </is>
      </c>
      <c r="F273" s="2" t="inlineStr">
        <is>
          <t>RN-1</t>
        </is>
      </c>
    </row>
    <row r="274">
      <c r="A274" s="2" t="inlineStr">
        <is>
          <t>CEPA-091</t>
        </is>
      </c>
      <c r="B274" s="2" t="inlineStr">
        <is>
          <t>AC</t>
        </is>
      </c>
      <c r="C274" s="2" t="inlineStr">
        <is>
          <t>CA-2</t>
        </is>
      </c>
      <c r="D274" s="2" t="inlineStr">
        <is>
          <t>Dado un reporte generado, cuando la coordinadora lo descarga, entonces obtiene el archivo en formato estándar (Excel/CSV y PDF) con los datos de pantalla.</t>
        </is>
      </c>
      <c r="E274" s="2" t="inlineStr">
        <is>
          <t>TC-CEPA-091-002</t>
        </is>
      </c>
      <c r="F274" s="2" t="inlineStr">
        <is>
          <t>RN-2, RN-3</t>
        </is>
      </c>
    </row>
    <row r="275">
      <c r="A275" s="2" t="inlineStr">
        <is>
          <t>CEPA-091</t>
        </is>
      </c>
      <c r="B275" s="2" t="inlineStr">
        <is>
          <t>AC</t>
        </is>
      </c>
      <c r="C275" s="2" t="inlineStr">
        <is>
          <t>CA-3</t>
        </is>
      </c>
      <c r="D275" s="2" t="inlineStr">
        <is>
          <t>Dado un usuario Auditor, cuando genera/descarga reportes operativos, entonces lo hace en solo lectura sin alterar datos de origen.</t>
        </is>
      </c>
      <c r="E275" s="2" t="inlineStr">
        <is>
          <t>TC-CEPA-091-003</t>
        </is>
      </c>
      <c r="F275" s="2" t="inlineStr">
        <is>
          <t>RN-4</t>
        </is>
      </c>
    </row>
    <row r="276">
      <c r="A276" s="2" t="inlineStr">
        <is>
          <t>CEPA-091</t>
        </is>
      </c>
      <c r="B276" s="2" t="inlineStr">
        <is>
          <t>BR</t>
        </is>
      </c>
      <c r="C276" s="2" t="inlineStr">
        <is>
          <t>RN-5</t>
        </is>
      </c>
      <c r="D276" s="2" t="inlineStr">
        <is>
          <t>La generación de reportes queda trazada en el log de auditoría (quién generó qué reporte y cuándo).</t>
        </is>
      </c>
      <c r="E276" s="2" t="inlineStr">
        <is>
          <t>TC-CEPA-091-004</t>
        </is>
      </c>
      <c r="F276" s="2" t="inlineStr">
        <is>
          <t>RN-5</t>
        </is>
      </c>
    </row>
    <row r="277">
      <c r="A277" s="2" t="inlineStr">
        <is>
          <t>CEPA-091</t>
        </is>
      </c>
      <c r="B277" s="2" t="inlineStr">
        <is>
          <t>TC</t>
        </is>
      </c>
      <c r="C277" s="2" t="inlineStr">
        <is>
          <t>TC-091-03</t>
        </is>
      </c>
      <c r="D277" s="2" t="inlineStr">
        <is>
          <t>Generar sin definir período → error de validación; no genera reporte.</t>
        </is>
      </c>
      <c r="E277" s="2" t="inlineStr">
        <is>
          <t>TC-CEPA-091-005</t>
        </is>
      </c>
      <c r="F277" s="2" t="inlineStr">
        <is>
          <t>RN-1</t>
        </is>
      </c>
    </row>
    <row r="278">
      <c r="A278" s="2" t="inlineStr">
        <is>
          <t>CEPA-091</t>
        </is>
      </c>
      <c r="B278" s="2" t="inlineStr">
        <is>
          <t>TC</t>
        </is>
      </c>
      <c r="C278" s="2" t="inlineStr">
        <is>
          <t>TC-091-04</t>
        </is>
      </c>
      <c r="D278" s="2" t="inlineStr">
        <is>
          <t>Generar reporte de período sin citas → reporte con totales en cero, sin error.</t>
        </is>
      </c>
      <c r="E278" s="2" t="inlineStr">
        <is>
          <t>TC-CEPA-091-006</t>
        </is>
      </c>
      <c r="F278" s="2" t="inlineStr">
        <is>
          <t>RN-1</t>
        </is>
      </c>
    </row>
    <row r="279">
      <c r="A279" s="2" t="inlineStr">
        <is>
          <t>CEPA-091</t>
        </is>
      </c>
      <c r="B279" s="2" t="inlineStr">
        <is>
          <t>TC</t>
        </is>
      </c>
      <c r="C279" s="2" t="inlineStr">
        <is>
          <t>TC-091-05</t>
        </is>
      </c>
      <c r="D279" s="2" t="inlineStr">
        <is>
          <t>Intentar generar reporte con perfil sin acceso → acceso denegado.</t>
        </is>
      </c>
      <c r="E279" s="2" t="inlineStr">
        <is>
          <t>TC-CEPA-091-007</t>
        </is>
      </c>
      <c r="F279" s="2" t="inlineStr">
        <is>
          <t>RN-4</t>
        </is>
      </c>
    </row>
    <row r="280">
      <c r="A280" s="2" t="inlineStr">
        <is>
          <t>CEPA-091</t>
        </is>
      </c>
      <c r="B280" s="2" t="inlineStr">
        <is>
          <t>PLANILLA</t>
        </is>
      </c>
      <c r="C280" s="2" t="inlineStr">
        <is>
          <t>7 hojas planilla CEPA</t>
        </is>
      </c>
      <c r="D280" s="2" t="inlineStr">
        <is>
          <t>El epic reemplaza la generación manual de indicadores y reportes desde las 7 planillas Excel; los reportes deben reproducir su información.</t>
        </is>
      </c>
      <c r="E280" s="2" t="inlineStr">
        <is>
          <t>TC-CEPA-091-008</t>
        </is>
      </c>
      <c r="F280" s="2" t="inlineStr">
        <is>
          <t>RN-1, RN-3</t>
        </is>
      </c>
    </row>
    <row r="281">
      <c r="A281" s="2" t="inlineStr">
        <is>
          <t>CEPA-092</t>
        </is>
      </c>
      <c r="B281" s="2" t="inlineStr">
        <is>
          <t>AC</t>
        </is>
      </c>
      <c r="C281" s="2" t="inlineStr">
        <is>
          <t>CA-1</t>
        </is>
      </c>
      <c r="D281" s="2" t="inlineStr">
        <is>
          <t>Dado convenio y período mensual seleccionados, cuando hace clic en generar, entonces produce el reporte de cumplimiento con los indicadores comprometidos.</t>
        </is>
      </c>
      <c r="E281" s="2" t="inlineStr">
        <is>
          <t>TC-CEPA-092-001</t>
        </is>
      </c>
      <c r="F281" s="2" t="inlineStr">
        <is>
          <t>RN-1</t>
        </is>
      </c>
    </row>
    <row r="282">
      <c r="A282" s="2" t="inlineStr">
        <is>
          <t>CEPA-092</t>
        </is>
      </c>
      <c r="B282" s="2" t="inlineStr">
        <is>
          <t>AC</t>
        </is>
      </c>
      <c r="C282" s="2" t="inlineStr">
        <is>
          <t>CA-2</t>
        </is>
      </c>
      <c r="D282" s="2" t="inlineStr">
        <is>
          <t>Dado que quiere acotar el reporte, cuando filtra por profesional, tipo de atención y programa, entonces el reporte se restringe al recorte y permite descarga estándar.</t>
        </is>
      </c>
      <c r="E282" s="2" t="inlineStr">
        <is>
          <t>TC-CEPA-092-002</t>
        </is>
      </c>
      <c r="F282" s="2" t="inlineStr">
        <is>
          <t>RN-2, RN-4</t>
        </is>
      </c>
    </row>
    <row r="283">
      <c r="A283" s="2" t="inlineStr">
        <is>
          <t>CEPA-092</t>
        </is>
      </c>
      <c r="B283" s="2" t="inlineStr">
        <is>
          <t>AC</t>
        </is>
      </c>
      <c r="C283" s="2" t="inlineStr">
        <is>
          <t>CA-3</t>
        </is>
      </c>
      <c r="D283" s="2" t="inlineStr">
        <is>
          <t>Dado volúmenes de producción, cuando se solicita el reporte mensual de convenio, entonces se obtiene en menos de 5 minutos (OI2).</t>
        </is>
      </c>
      <c r="E283" s="2" t="inlineStr">
        <is>
          <t>TC-CEPA-092-003</t>
        </is>
      </c>
      <c r="F283" s="2" t="inlineStr">
        <is>
          <t>RN-3</t>
        </is>
      </c>
    </row>
    <row r="284">
      <c r="A284" s="2" t="inlineStr">
        <is>
          <t>CEPA-092</t>
        </is>
      </c>
      <c r="B284" s="2" t="inlineStr">
        <is>
          <t>BR</t>
        </is>
      </c>
      <c r="C284" s="2" t="inlineStr">
        <is>
          <t>RN-5</t>
        </is>
      </c>
      <c r="D284" s="2" t="inlineStr">
        <is>
          <t>Tipos de convenio/derivación según valores reales (D4), sin «convenio SOCORRO».</t>
        </is>
      </c>
      <c r="E284" s="2" t="inlineStr">
        <is>
          <t>TC-CEPA-092-004</t>
        </is>
      </c>
      <c r="F284" s="2" t="inlineStr">
        <is>
          <t>RN-5</t>
        </is>
      </c>
    </row>
    <row r="285">
      <c r="A285" s="2" t="inlineStr">
        <is>
          <t>CEPA-092</t>
        </is>
      </c>
      <c r="B285" s="2" t="inlineStr">
        <is>
          <t>BR</t>
        </is>
      </c>
      <c r="C285" s="2" t="inlineStr">
        <is>
          <t>RN-6</t>
        </is>
      </c>
      <c r="D285" s="2" t="inlineStr">
        <is>
          <t>RBAC — Coordinación genera; Auditor solo lectura; el perfil Clínico no existe (D1).</t>
        </is>
      </c>
      <c r="E285" s="2" t="inlineStr">
        <is>
          <t>TC-CEPA-092-005</t>
        </is>
      </c>
      <c r="F285" s="2" t="inlineStr">
        <is>
          <t>RN-6</t>
        </is>
      </c>
    </row>
    <row r="286">
      <c r="A286" s="2" t="inlineStr">
        <is>
          <t>CEPA-092</t>
        </is>
      </c>
      <c r="B286" s="2" t="inlineStr">
        <is>
          <t>BR</t>
        </is>
      </c>
      <c r="C286" s="2" t="inlineStr">
        <is>
          <t>RN-7</t>
        </is>
      </c>
      <c r="D286" s="2" t="inlineStr">
        <is>
          <t>La generación queda trazada en el log de auditoría.</t>
        </is>
      </c>
      <c r="E286" s="2" t="inlineStr">
        <is>
          <t>TC-CEPA-092-006</t>
        </is>
      </c>
      <c r="F286" s="2" t="inlineStr">
        <is>
          <t>RN-7</t>
        </is>
      </c>
    </row>
    <row r="287">
      <c r="A287" s="2" t="inlineStr">
        <is>
          <t>CEPA-092</t>
        </is>
      </c>
      <c r="B287" s="2" t="inlineStr">
        <is>
          <t>TC</t>
        </is>
      </c>
      <c r="C287" s="2" t="inlineStr">
        <is>
          <t>TC-092-04</t>
        </is>
      </c>
      <c r="D287" s="2" t="inlineStr">
        <is>
          <t>Generar reporte de convenio sin actividad → reporte válido con totales en cero.</t>
        </is>
      </c>
      <c r="E287" s="2" t="inlineStr">
        <is>
          <t>TC-CEPA-092-007</t>
        </is>
      </c>
      <c r="F287" s="2" t="inlineStr">
        <is>
          <t>RN-1</t>
        </is>
      </c>
    </row>
    <row r="288">
      <c r="A288" s="2" t="inlineStr">
        <is>
          <t>CEPA-093</t>
        </is>
      </c>
      <c r="B288" s="2" t="inlineStr">
        <is>
          <t>AC</t>
        </is>
      </c>
      <c r="C288" s="2" t="inlineStr">
        <is>
          <t>CA-1</t>
        </is>
      </c>
      <c r="D288" s="2" t="inlineStr">
        <is>
          <t>Dado el reporte de carga laboral y un período, cuando lo genera, entonces muestra por profesional el volumen de casos/atenciones asignados.</t>
        </is>
      </c>
      <c r="E288" s="2" t="inlineStr">
        <is>
          <t>TC-CEPA-093-001</t>
        </is>
      </c>
      <c r="F288" s="2" t="inlineStr">
        <is>
          <t>RN-1, RN-4</t>
        </is>
      </c>
    </row>
    <row r="289">
      <c r="A289" s="2" t="inlineStr">
        <is>
          <t>CEPA-093</t>
        </is>
      </c>
      <c r="B289" s="2" t="inlineStr">
        <is>
          <t>AC</t>
        </is>
      </c>
      <c r="C289" s="2" t="inlineStr">
        <is>
          <t>CA-2</t>
        </is>
      </c>
      <c r="D289" s="2" t="inlineStr">
        <is>
          <t>Dado que quiere comparar, cuando filtra por especialidad/tipo de atención/programa, entonces recalcula la carga y permite descarga estándar.</t>
        </is>
      </c>
      <c r="E289" s="2" t="inlineStr">
        <is>
          <t>TC-CEPA-093-002</t>
        </is>
      </c>
      <c r="F289" s="2" t="inlineStr">
        <is>
          <t>RN-2, RN-3</t>
        </is>
      </c>
    </row>
    <row r="290">
      <c r="A290" s="2" t="inlineStr">
        <is>
          <t>CEPA-093</t>
        </is>
      </c>
      <c r="B290" s="2" t="inlineStr">
        <is>
          <t>AC</t>
        </is>
      </c>
      <c r="C290" s="2" t="inlineStr">
        <is>
          <t>CA-3</t>
        </is>
      </c>
      <c r="D290" s="2" t="inlineStr">
        <is>
          <t>Dado un usuario Auditor, cuando consulta el reporte de carga laboral, entonces lo ve en solo lectura.</t>
        </is>
      </c>
      <c r="E290" s="2" t="inlineStr">
        <is>
          <t>TC-CEPA-093-003</t>
        </is>
      </c>
      <c r="F290" s="2" t="inlineStr">
        <is>
          <t>RN-5</t>
        </is>
      </c>
    </row>
    <row r="291">
      <c r="A291" s="2" t="inlineStr">
        <is>
          <t>CEPA-093</t>
        </is>
      </c>
      <c r="B291" s="2" t="inlineStr">
        <is>
          <t>BR</t>
        </is>
      </c>
      <c r="C291" s="2" t="inlineStr">
        <is>
          <t>RN-6</t>
        </is>
      </c>
      <c r="D291" s="2" t="inlineStr">
        <is>
          <t>La métrica de carga debe pasar el QA de métricas (D5).</t>
        </is>
      </c>
      <c r="E291" s="2" t="inlineStr">
        <is>
          <t>TC-CEPA-093-004</t>
        </is>
      </c>
      <c r="F291" s="2" t="inlineStr">
        <is>
          <t>RN-6</t>
        </is>
      </c>
    </row>
    <row r="292">
      <c r="A292" s="2" t="inlineStr">
        <is>
          <t>CEPA-093</t>
        </is>
      </c>
      <c r="B292" s="2" t="inlineStr">
        <is>
          <t>TC</t>
        </is>
      </c>
      <c r="C292" s="2" t="inlineStr">
        <is>
          <t>TC-093-03</t>
        </is>
      </c>
      <c r="D292" s="2" t="inlineStr">
        <is>
          <t>Profesional sin casos en el período → listado con carga cero.</t>
        </is>
      </c>
      <c r="E292" s="2" t="inlineStr">
        <is>
          <t>TC-CEPA-093-005</t>
        </is>
      </c>
      <c r="F292" s="2" t="inlineStr">
        <is>
          <t>RN-1</t>
        </is>
      </c>
    </row>
    <row r="293">
      <c r="A293" s="2" t="inlineStr">
        <is>
          <t>CEPA-093</t>
        </is>
      </c>
      <c r="B293" s="2" t="inlineStr">
        <is>
          <t>TC</t>
        </is>
      </c>
      <c r="C293" s="2" t="inlineStr">
        <is>
          <t>TC-093-04</t>
        </is>
      </c>
      <c r="D293" s="2" t="inlineStr">
        <is>
          <t>Generar sin definir período → error de validación.</t>
        </is>
      </c>
      <c r="E293" s="2" t="inlineStr">
        <is>
          <t>TC-CEPA-093-006</t>
        </is>
      </c>
      <c r="F293" s="2" t="inlineStr">
        <is>
          <t>RN-2</t>
        </is>
      </c>
    </row>
    <row r="294">
      <c r="A294" s="2" t="inlineStr">
        <is>
          <t>CEPA-093</t>
        </is>
      </c>
      <c r="B294" s="2" t="inlineStr">
        <is>
          <t>BR</t>
        </is>
      </c>
      <c r="C294" s="2" t="inlineStr">
        <is>
          <t>RN-4</t>
        </is>
      </c>
      <c r="D294" s="2" t="inlineStr">
        <is>
          <t>El profesional es un dato de referencia, no un usuario con acceso (D1): la carga se atribuye al profesional asignado en el registro.</t>
        </is>
      </c>
      <c r="E294" s="2" t="inlineStr">
        <is>
          <t>TC-CEPA-093-007</t>
        </is>
      </c>
      <c r="F294" s="2" t="inlineStr">
        <is>
          <t>RN-4</t>
        </is>
      </c>
    </row>
    <row r="295">
      <c r="A295" s="2" t="inlineStr">
        <is>
          <t>CEPA-094</t>
        </is>
      </c>
      <c r="B295" s="2" t="inlineStr">
        <is>
          <t>AC</t>
        </is>
      </c>
      <c r="C295" s="2" t="inlineStr">
        <is>
          <t>CA-1</t>
        </is>
      </c>
      <c r="D295" s="2" t="inlineStr">
        <is>
          <t>Dado que genera el reporte de licencias acumuladas, cuando lo solicita, entonces muestra por paciente/folio el total de días sumando todas sus licencias.</t>
        </is>
      </c>
      <c r="E295" s="2" t="inlineStr">
        <is>
          <t>TC-CEPA-094-001</t>
        </is>
      </c>
      <c r="F295" s="2" t="inlineStr">
        <is>
          <t>RN-1</t>
        </is>
      </c>
    </row>
    <row r="296">
      <c r="A296" s="2" t="inlineStr">
        <is>
          <t>CEPA-094</t>
        </is>
      </c>
      <c r="B296" s="2" t="inlineStr">
        <is>
          <t>AC</t>
        </is>
      </c>
      <c r="C296" s="2" t="inlineStr">
        <is>
          <t>CA-2</t>
        </is>
      </c>
      <c r="D296" s="2" t="inlineStr">
        <is>
          <t>Dado que aplica filtros (período, región/comuna, tipo de licencia, tipo de reposo, programa), cuando confirma, entonces recalcula y permite descarga estándar.</t>
        </is>
      </c>
      <c r="E296" s="2" t="inlineStr">
        <is>
          <t>TC-CEPA-094-002</t>
        </is>
      </c>
      <c r="F296" s="2" t="inlineStr">
        <is>
          <t>RN-2, RN-5</t>
        </is>
      </c>
    </row>
    <row r="297">
      <c r="A297" s="2" t="inlineStr">
        <is>
          <t>CEPA-094</t>
        </is>
      </c>
      <c r="B297" s="2" t="inlineStr">
        <is>
          <t>AC</t>
        </is>
      </c>
      <c r="C297" s="2" t="inlineStr">
        <is>
          <t>CA-3</t>
        </is>
      </c>
      <c r="D297" s="2" t="inlineStr">
        <is>
          <t>Dado que existen licencias extra-sistema (D7), cuando se genera el reporte, entonces se incluyen en el acumulado si así se configuró, distinguidas como tales.</t>
        </is>
      </c>
      <c r="E297" s="2" t="inlineStr">
        <is>
          <t>TC-CEPA-094-003</t>
        </is>
      </c>
      <c r="F297" s="2" t="inlineStr">
        <is>
          <t>RN-4</t>
        </is>
      </c>
    </row>
    <row r="298">
      <c r="A298" s="2" t="inlineStr">
        <is>
          <t>CEPA-094</t>
        </is>
      </c>
      <c r="B298" s="2" t="inlineStr">
        <is>
          <t>BR</t>
        </is>
      </c>
      <c r="C298" s="2" t="inlineStr">
        <is>
          <t>RN-3</t>
        </is>
      </c>
      <c r="D298" s="2" t="inlineStr">
        <is>
          <t>Datos de licencia conforme a D8 (días de reposo, inicio/fin, emisión, tipo, indicación y diagnóstico, tipo de reposo).</t>
        </is>
      </c>
      <c r="E298" s="2" t="inlineStr">
        <is>
          <t>TC-CEPA-094-004</t>
        </is>
      </c>
      <c r="F298" s="2" t="inlineStr">
        <is>
          <t>RN-3, RN-2</t>
        </is>
      </c>
    </row>
    <row r="299">
      <c r="A299" s="2" t="inlineStr">
        <is>
          <t>CEPA-094</t>
        </is>
      </c>
      <c r="B299" s="2" t="inlineStr">
        <is>
          <t>BR</t>
        </is>
      </c>
      <c r="C299" s="2" t="inlineStr">
        <is>
          <t>RN-6</t>
        </is>
      </c>
      <c r="D299" s="2" t="inlineStr">
        <is>
          <t>RBAC — Coordinación genera; Auditor solo lectura; el cálculo acumulado debe pasar el QA de métricas (D5).</t>
        </is>
      </c>
      <c r="E299" s="2" t="inlineStr">
        <is>
          <t>TC-CEPA-094-005</t>
        </is>
      </c>
      <c r="F299" s="2" t="inlineStr">
        <is>
          <t>RN-6</t>
        </is>
      </c>
    </row>
    <row r="300">
      <c r="A300" s="2" t="inlineStr">
        <is>
          <t>CEPA-094</t>
        </is>
      </c>
      <c r="B300" s="2" t="inlineStr">
        <is>
          <t>TC</t>
        </is>
      </c>
      <c r="C300" s="2" t="inlineStr">
        <is>
          <t>TC-094-04</t>
        </is>
      </c>
      <c r="D300" s="2" t="inlineStr">
        <is>
          <t>Generar sin período → error de validación.</t>
        </is>
      </c>
      <c r="E300" s="2" t="inlineStr">
        <is>
          <t>TC-CEPA-094-006</t>
        </is>
      </c>
      <c r="F300" s="2" t="inlineStr">
        <is>
          <t>RN-2</t>
        </is>
      </c>
    </row>
    <row r="301">
      <c r="A301" s="2" t="inlineStr">
        <is>
          <t>CEPA-094</t>
        </is>
      </c>
      <c r="B301" s="2" t="inlineStr">
        <is>
          <t>PLANILLA</t>
        </is>
      </c>
      <c r="C301" s="2" t="inlineStr">
        <is>
          <t>Hoja de licencias (planilla CEPA)</t>
        </is>
      </c>
      <c r="D301" s="2" t="inlineStr">
        <is>
          <t>El epic reemplaza la generación manual de indicadores desde las 7 planillas; el acumulado debe reproducir la hoja de licencias.</t>
        </is>
      </c>
      <c r="E301" s="2" t="inlineStr">
        <is>
          <t>TC-CEPA-094-007</t>
        </is>
      </c>
      <c r="F301" s="2" t="inlineStr">
        <is>
          <t>RN-1, RN-3</t>
        </is>
      </c>
    </row>
    <row r="302">
      <c r="A302" s="2" t="inlineStr">
        <is>
          <t>CEPA-095</t>
        </is>
      </c>
      <c r="B302" s="2" t="inlineStr">
        <is>
          <t>AC</t>
        </is>
      </c>
      <c r="C302" s="2" t="inlineStr">
        <is>
          <t>CA-1</t>
        </is>
      </c>
      <c r="D302" s="2" t="inlineStr">
        <is>
          <t>Dado que consulta adherencia, cuando selecciona un recorte, entonces muestra % adherencia = citas realizadas / citas agendadas.</t>
        </is>
      </c>
      <c r="E302" s="2" t="inlineStr">
        <is>
          <t>TC-CEPA-095-001</t>
        </is>
      </c>
      <c r="F302" s="2" t="inlineStr">
        <is>
          <t>RN-1, RN-6</t>
        </is>
      </c>
    </row>
    <row r="303">
      <c r="A303" s="2" t="inlineStr">
        <is>
          <t>CEPA-095</t>
        </is>
      </c>
      <c r="B303" s="2" t="inlineStr">
        <is>
          <t>AC</t>
        </is>
      </c>
      <c r="C303" s="2" t="inlineStr">
        <is>
          <t>CA-2</t>
        </is>
      </c>
      <c r="D303" s="2" t="inlineStr">
        <is>
          <t>Dado que consulta el avance, cuando selecciona un caso/plan, entonces muestra etapa, sesiones restantes, % por plan y aumentos ISL.</t>
        </is>
      </c>
      <c r="E303" s="2" t="inlineStr">
        <is>
          <t>TC-CEPA-095-002</t>
        </is>
      </c>
      <c r="F303" s="2" t="inlineStr">
        <is>
          <t>RN-2</t>
        </is>
      </c>
    </row>
    <row r="304">
      <c r="A304" s="2" t="inlineStr">
        <is>
          <t>CEPA-095</t>
        </is>
      </c>
      <c r="B304" s="2" t="inlineStr">
        <is>
          <t>AC</t>
        </is>
      </c>
      <c r="C304" s="2" t="inlineStr">
        <is>
          <t>CA-3</t>
        </is>
      </c>
      <c r="D304" s="2" t="inlineStr">
        <is>
          <t>Dado que consulta estadísticas de fármacos, cuando filtra por tratamiento/programa/profesional, entonces muestra las estadísticas del recorte (D7).</t>
        </is>
      </c>
      <c r="E304" s="2" t="inlineStr">
        <is>
          <t>TC-CEPA-095-003</t>
        </is>
      </c>
      <c r="F304" s="2" t="inlineStr">
        <is>
          <t>RN-3</t>
        </is>
      </c>
    </row>
    <row r="305">
      <c r="A305" s="2" t="inlineStr">
        <is>
          <t>CEPA-095</t>
        </is>
      </c>
      <c r="B305" s="2" t="inlineStr">
        <is>
          <t>AC</t>
        </is>
      </c>
      <c r="C305" s="2" t="inlineStr">
        <is>
          <t>CA-4</t>
        </is>
      </c>
      <c r="D305" s="2" t="inlineStr">
        <is>
          <t>Dado que una métrica se publica, cuando pasa el control de calidad, entonces cuenta con validación de resultado y de proceso y responsable asignado (D5).</t>
        </is>
      </c>
      <c r="E305" s="2" t="inlineStr">
        <is>
          <t>TC-CEPA-095-004</t>
        </is>
      </c>
      <c r="F305" s="2" t="inlineStr">
        <is>
          <t>RN-4, RN-6</t>
        </is>
      </c>
    </row>
    <row r="306">
      <c r="A306" s="2" t="inlineStr">
        <is>
          <t>CEPA-095</t>
        </is>
      </c>
      <c r="B306" s="2" t="inlineStr">
        <is>
          <t>BR</t>
        </is>
      </c>
      <c r="C306" s="2" t="inlineStr">
        <is>
          <t>RN-5</t>
        </is>
      </c>
      <c r="D306" s="2" t="inlineStr">
        <is>
          <t>RBAC — Coordinación explota estas métricas; Auditor solo lectura; el perfil Clínico no existe (D1).</t>
        </is>
      </c>
      <c r="E306" s="2" t="inlineStr">
        <is>
          <t>TC-CEPA-095-005</t>
        </is>
      </c>
      <c r="F306" s="2" t="inlineStr">
        <is>
          <t>RN-5</t>
        </is>
      </c>
    </row>
    <row r="307">
      <c r="A307" s="2" t="inlineStr">
        <is>
          <t>CEPA-095</t>
        </is>
      </c>
      <c r="B307" s="2" t="inlineStr">
        <is>
          <t>TC</t>
        </is>
      </c>
      <c r="C307" s="2" t="inlineStr">
        <is>
          <t>TC-095-03</t>
        </is>
      </c>
      <c r="D307" s="2" t="inlineStr">
        <is>
          <t>Paciente con 0 citas agendadas → sin división por cero; estado 'no aplica/sin datos'.</t>
        </is>
      </c>
      <c r="E307" s="2" t="inlineStr">
        <is>
          <t>TC-CEPA-095-006</t>
        </is>
      </c>
      <c r="F307" s="2" t="inlineStr">
        <is>
          <t>RN-1</t>
        </is>
      </c>
    </row>
    <row r="308">
      <c r="A308" s="2" t="inlineStr">
        <is>
          <t>CEPA-096</t>
        </is>
      </c>
      <c r="B308" s="2" t="inlineStr">
        <is>
          <t>AC</t>
        </is>
      </c>
      <c r="C308" s="2" t="inlineStr">
        <is>
          <t>CA-1</t>
        </is>
      </c>
      <c r="D308" s="2" t="inlineStr">
        <is>
          <t>Dado que el administrativo abre la ventana de un proceso, cuando carga, entonces muestra la información consolidada con campos y acciones.</t>
        </is>
      </c>
      <c r="E308" s="2" t="inlineStr">
        <is>
          <t>TC-CEPA-096-001</t>
        </is>
      </c>
      <c r="F308" s="2" t="inlineStr">
        <is>
          <t>RN-2, RN-3</t>
        </is>
      </c>
    </row>
    <row r="309">
      <c r="A309" s="2" t="inlineStr">
        <is>
          <t>CEPA-096</t>
        </is>
      </c>
      <c r="B309" s="2" t="inlineStr">
        <is>
          <t>AC</t>
        </is>
      </c>
      <c r="C309" s="2" t="inlineStr">
        <is>
          <t>CA-2</t>
        </is>
      </c>
      <c r="D309" s="2" t="inlineStr">
        <is>
          <t>Dado que está en una ventana de proceso, cuando filtra u ordena, entonces la vista se actualiza al recorte y permite acceder al detalle.</t>
        </is>
      </c>
      <c r="E309" s="2" t="inlineStr">
        <is>
          <t>TC-CEPA-096-002</t>
        </is>
      </c>
      <c r="F309" s="2" t="inlineStr">
        <is>
          <t>RN-2</t>
        </is>
      </c>
    </row>
    <row r="310">
      <c r="A310" s="2" t="inlineStr">
        <is>
          <t>CEPA-096</t>
        </is>
      </c>
      <c r="B310" s="2" t="inlineStr">
        <is>
          <t>AC</t>
        </is>
      </c>
      <c r="C310" s="2" t="inlineStr">
        <is>
          <t>CA-3</t>
        </is>
      </c>
      <c r="D310" s="2" t="inlineStr">
        <is>
          <t>Dado que existen las cinco vistas de proceso, cuando el administrativo navega entre ellas, entonces cada una presenta su información específica accionable.</t>
        </is>
      </c>
      <c r="E310" s="2" t="inlineStr">
        <is>
          <t>TC-CEPA-096-003</t>
        </is>
      </c>
      <c r="F310" s="2" t="inlineStr">
        <is>
          <t>RN-1, RN-2</t>
        </is>
      </c>
    </row>
    <row r="311">
      <c r="A311" s="2" t="inlineStr">
        <is>
          <t>CEPA-096</t>
        </is>
      </c>
      <c r="B311" s="2" t="inlineStr">
        <is>
          <t>AC</t>
        </is>
      </c>
      <c r="C311" s="2" t="inlineStr">
        <is>
          <t>CA-4</t>
        </is>
      </c>
      <c r="D311" s="2" t="inlineStr">
        <is>
          <t>Dado que el usuario es Auditor, cuando abre la vista de auditoría, entonces accede en solo lectura sin edición de datos clínicos.</t>
        </is>
      </c>
      <c r="E311" s="2" t="inlineStr">
        <is>
          <t>TC-CEPA-096-004</t>
        </is>
      </c>
      <c r="F311" s="2" t="inlineStr">
        <is>
          <t>RN-4</t>
        </is>
      </c>
    </row>
    <row r="312">
      <c r="A312" s="2" t="inlineStr">
        <is>
          <t>CEPA-096</t>
        </is>
      </c>
      <c r="B312" s="2" t="inlineStr">
        <is>
          <t>BR</t>
        </is>
      </c>
      <c r="C312" s="2" t="inlineStr">
        <is>
          <t>RN-3</t>
        </is>
      </c>
      <c r="D312" s="2" t="inlineStr">
        <is>
          <t>Las vistas presentan datos en tiempo real desde la fuente única de verdad; no son exports estáticos.</t>
        </is>
      </c>
      <c r="E312" s="2" t="inlineStr">
        <is>
          <t>TC-CEPA-096-005</t>
        </is>
      </c>
      <c r="F312" s="2" t="inlineStr">
        <is>
          <t>RN-3</t>
        </is>
      </c>
    </row>
    <row r="313">
      <c r="A313" s="2" t="inlineStr">
        <is>
          <t>CEPA-096</t>
        </is>
      </c>
      <c r="B313" s="2" t="inlineStr">
        <is>
          <t>BR</t>
        </is>
      </c>
      <c r="C313" s="2" t="inlineStr">
        <is>
          <t>RN-5</t>
        </is>
      </c>
      <c r="D313" s="2" t="inlineStr">
        <is>
          <t>El estado completo de un caso/proceso debe ser accesible rápidamente (alineado con OU3, &lt;10 s).</t>
        </is>
      </c>
      <c r="E313" s="2" t="inlineStr">
        <is>
          <t>TC-CEPA-096-006</t>
        </is>
      </c>
      <c r="F313" s="2" t="inlineStr">
        <is>
          <t>RN-5</t>
        </is>
      </c>
    </row>
    <row r="314">
      <c r="A314" s="2" t="inlineStr">
        <is>
          <t>CEPA-096</t>
        </is>
      </c>
      <c r="B314" s="2" t="inlineStr">
        <is>
          <t>TC</t>
        </is>
      </c>
      <c r="C314" s="2" t="inlineStr">
        <is>
          <t>TC-096-04</t>
        </is>
      </c>
      <c r="D314" s="2" t="inlineStr">
        <is>
          <t>Abrir vista de un proceso vacío → estado vacío explícito, sin error.</t>
        </is>
      </c>
      <c r="E314" s="2" t="inlineStr">
        <is>
          <t>TC-CEPA-096-007</t>
        </is>
      </c>
      <c r="F314" s="2" t="inlineStr">
        <is>
          <t>RN-2</t>
        </is>
      </c>
    </row>
    <row r="315">
      <c r="A315" s="2" t="inlineStr">
        <is>
          <t>CEPA-097</t>
        </is>
      </c>
      <c r="B315" s="2" t="inlineStr">
        <is>
          <t>AC</t>
        </is>
      </c>
      <c r="C315" s="2" t="inlineStr">
        <is>
          <t>CA-1</t>
        </is>
      </c>
      <c r="D315" s="2" t="inlineStr">
        <is>
          <t>Dado que genera el reporte de ODAS vencidas, cuando lo solicita, entonces lista las ODAS con vencimiento anterior a hoy, con folio/paciente y fechas.</t>
        </is>
      </c>
      <c r="E315" s="2" t="inlineStr">
        <is>
          <t>TC-CEPA-097-001</t>
        </is>
      </c>
      <c r="F315" s="2" t="inlineStr">
        <is>
          <t>RN-1, RN-2</t>
        </is>
      </c>
    </row>
    <row r="316">
      <c r="A316" s="2" t="inlineStr">
        <is>
          <t>CEPA-097</t>
        </is>
      </c>
      <c r="B316" s="2" t="inlineStr">
        <is>
          <t>AC</t>
        </is>
      </c>
      <c r="C316" s="2" t="inlineStr">
        <is>
          <t>CA-2</t>
        </is>
      </c>
      <c r="D316" s="2" t="inlineStr">
        <is>
          <t>Dado que aplica filtros (período, programa, región/comuna), cuando confirma, entonces el reporte se acota y permite descarga estándar.</t>
        </is>
      </c>
      <c r="E316" s="2" t="inlineStr">
        <is>
          <t>TC-CEPA-097-002</t>
        </is>
      </c>
      <c r="F316" s="2" t="inlineStr">
        <is>
          <t>RN-3, RN-4</t>
        </is>
      </c>
    </row>
    <row r="317">
      <c r="A317" s="2" t="inlineStr">
        <is>
          <t>CEPA-097</t>
        </is>
      </c>
      <c r="B317" s="2" t="inlineStr">
        <is>
          <t>AC</t>
        </is>
      </c>
      <c r="C317" s="2" t="inlineStr">
        <is>
          <t>CA-3</t>
        </is>
      </c>
      <c r="D317" s="2" t="inlineStr">
        <is>
          <t>Dado que una ODA aún no ha vencido, cuando se genera el reporte de vencidas, entonces no aparece en el listado.</t>
        </is>
      </c>
      <c r="E317" s="2" t="inlineStr">
        <is>
          <t>TC-CEPA-097-003</t>
        </is>
      </c>
      <c r="F317" s="2" t="inlineStr">
        <is>
          <t>RN-1, RN-2</t>
        </is>
      </c>
    </row>
    <row r="318">
      <c r="A318" s="2" t="inlineStr">
        <is>
          <t>CEPA-097</t>
        </is>
      </c>
      <c r="B318" s="2" t="inlineStr">
        <is>
          <t>BR</t>
        </is>
      </c>
      <c r="C318" s="2" t="inlineStr">
        <is>
          <t>RN-5</t>
        </is>
      </c>
      <c r="D318" s="2" t="inlineStr">
        <is>
          <t>RBAC — Administrativo y Coordinación generan; Auditor solo lectura; el perfil Clínico no existe (D1).</t>
        </is>
      </c>
      <c r="E318" s="2" t="inlineStr">
        <is>
          <t>TC-CEPA-097-004</t>
        </is>
      </c>
      <c r="F318" s="2" t="inlineStr">
        <is>
          <t>RN-5</t>
        </is>
      </c>
    </row>
    <row r="319">
      <c r="A319" s="2" t="inlineStr">
        <is>
          <t>CEPA-097</t>
        </is>
      </c>
      <c r="B319" s="2" t="inlineStr">
        <is>
          <t>BR</t>
        </is>
      </c>
      <c r="C319" s="2" t="inlineStr">
        <is>
          <t>RN-6</t>
        </is>
      </c>
      <c r="D319" s="2" t="inlineStr">
        <is>
          <t>La generación del reporte queda trazada en el log de auditoría.</t>
        </is>
      </c>
      <c r="E319" s="2" t="inlineStr">
        <is>
          <t>TC-CEPA-097-005</t>
        </is>
      </c>
      <c r="F319" s="2" t="inlineStr">
        <is>
          <t>RN-6</t>
        </is>
      </c>
    </row>
    <row r="320">
      <c r="A320" s="2" t="inlineStr">
        <is>
          <t>CEPA-097</t>
        </is>
      </c>
      <c r="B320" s="2" t="inlineStr">
        <is>
          <t>TC</t>
        </is>
      </c>
      <c r="C320" s="2" t="inlineStr">
        <is>
          <t>TC-097-04</t>
        </is>
      </c>
      <c r="D320" s="2" t="inlineStr">
        <is>
          <t>Sin ODAS vencidas → listado vacío explícito, sin error.</t>
        </is>
      </c>
      <c r="E320" s="2" t="inlineStr">
        <is>
          <t>TC-CEPA-097-006</t>
        </is>
      </c>
      <c r="F320" s="2" t="inlineStr">
        <is>
          <t>RN-1</t>
        </is>
      </c>
    </row>
    <row r="321">
      <c r="A321" s="2" t="inlineStr">
        <is>
          <t>CEPA-100</t>
        </is>
      </c>
      <c r="B321" s="2" t="inlineStr">
        <is>
          <t>AC</t>
        </is>
      </c>
      <c r="C321" s="2" t="inlineStr">
        <is>
          <t>CA-1</t>
        </is>
      </c>
      <c r="D321" s="2" t="inlineStr">
        <is>
          <t>Dado un control médico dentro de la ventana de aviso, cuando el job se ejecuta, se genera alerta de 'próximo control médico' para el administrativo asignado.</t>
        </is>
      </c>
      <c r="E321" s="2" t="inlineStr">
        <is>
          <t>TC-CEPA-100-001</t>
        </is>
      </c>
      <c r="F321" s="2" t="inlineStr">
        <is>
          <t>RN-1, RN-3, RN-5</t>
        </is>
      </c>
    </row>
    <row r="322">
      <c r="A322" s="2" t="inlineStr">
        <is>
          <t>CEPA-100</t>
        </is>
      </c>
      <c r="B322" s="2" t="inlineStr">
        <is>
          <t>AC</t>
        </is>
      </c>
      <c r="C322" s="2" t="inlineStr">
        <is>
          <t>CA-2</t>
        </is>
      </c>
      <c r="D322" s="2" t="inlineStr">
        <is>
          <t>Dado una licencia que vence en 3 días hábiles, cuando el job ejecuta, se genera alerta de 'vencimiento de licencia médica' para el administrativo asignado.</t>
        </is>
      </c>
      <c r="E322" s="2" t="inlineStr">
        <is>
          <t>TC-CEPA-100-002</t>
        </is>
      </c>
      <c r="F322" s="2" t="inlineStr">
        <is>
          <t>RN-1, RN-3, RN-5, RN-6</t>
        </is>
      </c>
    </row>
    <row r="323">
      <c r="A323" s="2" t="inlineStr">
        <is>
          <t>CEPA-100</t>
        </is>
      </c>
      <c r="B323" s="2" t="inlineStr">
        <is>
          <t>AC</t>
        </is>
      </c>
      <c r="C323" s="2" t="inlineStr">
        <is>
          <t>CA-3</t>
        </is>
      </c>
      <c r="D323" s="2" t="inlineStr">
        <is>
          <t>Dado un caso EPT con plazo de informe EPT o entrega ISL dentro de la ventana, cuando el job se ejecuta, se genera alerta 'plazo EPT/ISL por vencer'.</t>
        </is>
      </c>
      <c r="E323" s="2" t="inlineStr">
        <is>
          <t>TC-CEPA-100-003</t>
        </is>
      </c>
      <c r="F323" s="2" t="inlineStr">
        <is>
          <t>RN-1, RN-3, RN-5, RN-6</t>
        </is>
      </c>
    </row>
    <row r="324">
      <c r="A324" s="2" t="inlineStr">
        <is>
          <t>CEPA-100</t>
        </is>
      </c>
      <c r="B324" s="2" t="inlineStr">
        <is>
          <t>AC</t>
        </is>
      </c>
      <c r="C324" s="2" t="inlineStr">
        <is>
          <t>CA-4</t>
        </is>
      </c>
      <c r="D324" s="2" t="inlineStr">
        <is>
          <t>Dado un caso en inicio de tratamiento sin consentimiento firmado, cuando el job se ejecuta, se genera alerta 'consentimiento informado pendiente'.</t>
        </is>
      </c>
      <c r="E324" s="2" t="inlineStr">
        <is>
          <t>TC-CEPA-100-004</t>
        </is>
      </c>
      <c r="F324" s="2" t="inlineStr">
        <is>
          <t>RN-1</t>
        </is>
      </c>
    </row>
    <row r="325">
      <c r="A325" s="2" t="inlineStr">
        <is>
          <t>CEPA-100</t>
        </is>
      </c>
      <c r="B325" s="2" t="inlineStr">
        <is>
          <t>AC</t>
        </is>
      </c>
      <c r="C325" s="2" t="inlineStr">
        <is>
          <t>CA-5</t>
        </is>
      </c>
      <c r="D325" s="2" t="inlineStr">
        <is>
          <t>Dado una receta con fecha de revisión dentro de los próximos 5 días, cuando el job se ejecuta, se genera alerta 'receta por renovar/gestionar'.</t>
        </is>
      </c>
      <c r="E325" s="2" t="inlineStr">
        <is>
          <t>TC-CEPA-100-005</t>
        </is>
      </c>
      <c r="F325" s="2" t="inlineStr">
        <is>
          <t>RN-1, RN-3, RN-5</t>
        </is>
      </c>
    </row>
    <row r="326">
      <c r="A326" s="2" t="inlineStr">
        <is>
          <t>CEPA-100</t>
        </is>
      </c>
      <c r="B326" s="2" t="inlineStr">
        <is>
          <t>AC</t>
        </is>
      </c>
      <c r="C326" s="2" t="inlineStr">
        <is>
          <t>CA-6</t>
        </is>
      </c>
      <c r="D326" s="2" t="inlineStr">
        <is>
          <t>Dado una ODA con vencimiento dentro de la ventana de aviso, cuando el job se ejecuta, se genera alerta 'ODA por vencer' (D3).</t>
        </is>
      </c>
      <c r="E326" s="2" t="inlineStr">
        <is>
          <t>TC-CEPA-100-006</t>
        </is>
      </c>
      <c r="F326" s="2" t="inlineStr">
        <is>
          <t>RN-1, RN-3, RN-5</t>
        </is>
      </c>
    </row>
    <row r="327">
      <c r="A327" s="2" t="inlineStr">
        <is>
          <t>CEPA-100</t>
        </is>
      </c>
      <c r="B327" s="2" t="inlineStr">
        <is>
          <t>AC</t>
        </is>
      </c>
      <c r="C327" s="2" t="inlineStr">
        <is>
          <t>CA-7</t>
        </is>
      </c>
      <c r="D327" s="2" t="inlineStr">
        <is>
          <t>Dado una alerta activa para un plazo y caso, cuando el job se vuelve a ejecutar, no se crea una alerta duplicada.</t>
        </is>
      </c>
      <c r="E327" s="2" t="inlineStr">
        <is>
          <t>TC-CEPA-100-007</t>
        </is>
      </c>
      <c r="F327" s="2" t="inlineStr">
        <is>
          <t>RN-4</t>
        </is>
      </c>
    </row>
    <row r="328">
      <c r="A328" s="2" t="inlineStr">
        <is>
          <t>CEPA-100</t>
        </is>
      </c>
      <c r="B328" s="2" t="inlineStr">
        <is>
          <t>AC</t>
        </is>
      </c>
      <c r="C328" s="2" t="inlineStr">
        <is>
          <t>CA-8</t>
        </is>
      </c>
      <c r="D328" s="2" t="inlineStr">
        <is>
          <t>Dado cualquier plazo perentorio soportado, cuando llega su vencimiento, existe registro de al menos una alerta previa (OU4).</t>
        </is>
      </c>
      <c r="E328" s="2" t="inlineStr">
        <is>
          <t>TC-CEPA-100-008</t>
        </is>
      </c>
      <c r="F328" s="2" t="inlineStr">
        <is>
          <t>RN-1, RN-7</t>
        </is>
      </c>
    </row>
    <row r="329">
      <c r="A329" s="2" t="inlineStr">
        <is>
          <t>CEPA-100</t>
        </is>
      </c>
      <c r="B329" s="2" t="inlineStr">
        <is>
          <t>BR</t>
        </is>
      </c>
      <c r="C329" s="2" t="inlineStr">
        <is>
          <t>RN-2</t>
        </is>
      </c>
      <c r="D329" s="2" t="inlineStr">
        <is>
          <t>El job de revisión se ejecuta programado en días hábiles, respetando la ventana de mantenimiento nocturna, con frecuencia configurable (mínimo diaria).</t>
        </is>
      </c>
      <c r="E329" s="2" t="inlineStr">
        <is>
          <t>TC-CEPA-100-009</t>
        </is>
      </c>
      <c r="F329" s="2" t="inlineStr">
        <is>
          <t>RN-2</t>
        </is>
      </c>
    </row>
    <row r="330">
      <c r="A330" s="2" t="inlineStr">
        <is>
          <t>CEPA-100</t>
        </is>
      </c>
      <c r="B330" s="2" t="inlineStr">
        <is>
          <t>BR</t>
        </is>
      </c>
      <c r="C330" s="2" t="inlineStr">
        <is>
          <t>RN-3</t>
        </is>
      </c>
      <c r="D330" s="2" t="inlineStr">
        <is>
          <t>Cada tipo de alerta tiene ventana de aviso parametrizable; defaults: licencia 3 días hábiles, receta 5 días.</t>
        </is>
      </c>
      <c r="E330" s="2" t="inlineStr">
        <is>
          <t>TC-CEPA-100-010</t>
        </is>
      </c>
      <c r="F330" s="2" t="inlineStr">
        <is>
          <t>RN-3</t>
        </is>
      </c>
    </row>
    <row r="331">
      <c r="A331" s="2" t="inlineStr">
        <is>
          <t>CEPA-100</t>
        </is>
      </c>
      <c r="B331" s="2" t="inlineStr">
        <is>
          <t>BR</t>
        </is>
      </c>
      <c r="C331" s="2" t="inlineStr">
        <is>
          <t>RN-5</t>
        </is>
      </c>
      <c r="D331" s="2" t="inlineStr">
        <is>
          <t>La alerta se dirige al administrativo asignado; Coordinación/Auditor visualizan según alcance; el perfil Clínico no recibe alertas (D1).</t>
        </is>
      </c>
      <c r="E331" s="2" t="inlineStr">
        <is>
          <t>TC-CEPA-100-011</t>
        </is>
      </c>
      <c r="F331" s="2" t="inlineStr">
        <is>
          <t>RN-5</t>
        </is>
      </c>
    </row>
    <row r="332">
      <c r="A332" s="2" t="inlineStr">
        <is>
          <t>CEPA-100</t>
        </is>
      </c>
      <c r="B332" s="2" t="inlineStr">
        <is>
          <t>BR</t>
        </is>
      </c>
      <c r="C332" s="2" t="inlineStr">
        <is>
          <t>RN-6</t>
        </is>
      </c>
      <c r="D332" s="2" t="inlineStr">
        <is>
          <t>Cada cálculo de plazo respeta días hábiles cuando el plazo regulatorio así lo define (licencias, EPT/ISL).</t>
        </is>
      </c>
      <c r="E332" s="2" t="inlineStr">
        <is>
          <t>TC-CEPA-100-012</t>
        </is>
      </c>
      <c r="F332" s="2" t="inlineStr">
        <is>
          <t>RN-6, RN-3</t>
        </is>
      </c>
    </row>
    <row r="333">
      <c r="A333" s="2" t="inlineStr">
        <is>
          <t>CEPA-100</t>
        </is>
      </c>
      <c r="B333" s="2" t="inlineStr">
        <is>
          <t>BR</t>
        </is>
      </c>
      <c r="C333" s="2" t="inlineStr">
        <is>
          <t>RN-8</t>
        </is>
      </c>
      <c r="D333" s="2" t="inlineStr">
        <is>
          <t>La generación de alertas y su resolución se registran en el log de auditoría (OI1).</t>
        </is>
      </c>
      <c r="E333" s="2" t="inlineStr">
        <is>
          <t>TC-CEPA-100-013</t>
        </is>
      </c>
      <c r="F333" s="2" t="inlineStr">
        <is>
          <t>RN-8, RN-7</t>
        </is>
      </c>
    </row>
    <row r="334">
      <c r="A334" s="2" t="inlineStr">
        <is>
          <t>CEPA-100</t>
        </is>
      </c>
      <c r="B334" s="2" t="inlineStr">
        <is>
          <t>TC</t>
        </is>
      </c>
      <c r="C334" s="2" t="inlineStr">
        <is>
          <t>TC-100-04</t>
        </is>
      </c>
      <c r="D334" s="2" t="inlineStr">
        <is>
          <t>Negativo: licencia que vence en 30 días (fuera de ventana) no genera alerta de vencimiento.</t>
        </is>
      </c>
      <c r="E334" s="2" t="inlineStr">
        <is>
          <t>TC-CEPA-100-014</t>
        </is>
      </c>
      <c r="F334" s="2" t="inlineStr">
        <is>
          <t>RN-3</t>
        </is>
      </c>
    </row>
    <row r="335">
      <c r="A335" s="2" t="inlineStr">
        <is>
          <t>CEPA-101</t>
        </is>
      </c>
      <c r="B335" s="2" t="inlineStr">
        <is>
          <t>AC</t>
        </is>
      </c>
      <c r="C335" s="2" t="inlineStr">
        <is>
          <t>CA-1</t>
        </is>
      </c>
      <c r="D335" s="2" t="inlineStr">
        <is>
          <t>Dado un usuario con alertas pendientes, cuando inicia sesión, ve el panel de notificaciones con sus alertas activas.</t>
        </is>
      </c>
      <c r="E335" s="2" t="inlineStr">
        <is>
          <t>TC-CEPA-101-001</t>
        </is>
      </c>
      <c r="F335" s="2" t="inlineStr">
        <is>
          <t>RN-1, RN-6</t>
        </is>
      </c>
    </row>
    <row r="336">
      <c r="A336" s="2" t="inlineStr">
        <is>
          <t>CEPA-101</t>
        </is>
      </c>
      <c r="B336" s="2" t="inlineStr">
        <is>
          <t>AC</t>
        </is>
      </c>
      <c r="C336" s="2" t="inlineStr">
        <is>
          <t>CA-2</t>
        </is>
      </c>
      <c r="D336" s="2" t="inlineStr">
        <is>
          <t>Dado un administrativo con casos asignados, cuando abre el panel, solo ve alertas de sus casos, no las de otros administrativos.</t>
        </is>
      </c>
      <c r="E336" s="2" t="inlineStr">
        <is>
          <t>TC-CEPA-101-002</t>
        </is>
      </c>
      <c r="F336" s="2" t="inlineStr">
        <is>
          <t>RN-2</t>
        </is>
      </c>
    </row>
    <row r="337">
      <c r="A337" s="2" t="inlineStr">
        <is>
          <t>CEPA-101</t>
        </is>
      </c>
      <c r="B337" s="2" t="inlineStr">
        <is>
          <t>AC</t>
        </is>
      </c>
      <c r="C337" s="2" t="inlineStr">
        <is>
          <t>CA-3</t>
        </is>
      </c>
      <c r="D337" s="2" t="inlineStr">
        <is>
          <t>Dado un usuario Coordinación o Auditor, cuando abre el panel, ve alertas según su alcance sin poder editar datos clínicos.</t>
        </is>
      </c>
      <c r="E337" s="2" t="inlineStr">
        <is>
          <t>TC-CEPA-101-003</t>
        </is>
      </c>
      <c r="F337" s="2" t="inlineStr">
        <is>
          <t>RN-2, RN-4</t>
        </is>
      </c>
    </row>
    <row r="338">
      <c r="A338" s="2" t="inlineStr">
        <is>
          <t>CEPA-101</t>
        </is>
      </c>
      <c r="B338" s="2" t="inlineStr">
        <is>
          <t>AC</t>
        </is>
      </c>
      <c r="C338" s="2" t="inlineStr">
        <is>
          <t>CA-4</t>
        </is>
      </c>
      <c r="D338" s="2" t="inlineStr">
        <is>
          <t>Dado una alerta visible, cuando el usuario la marca como leída/resuelta, cambia de estado, deja de contar como pendiente y se registra la acción.</t>
        </is>
      </c>
      <c r="E338" s="2" t="inlineStr">
        <is>
          <t>TC-CEPA-101-004</t>
        </is>
      </c>
      <c r="F338" s="2" t="inlineStr">
        <is>
          <t>RN-5</t>
        </is>
      </c>
    </row>
    <row r="339">
      <c r="A339" s="2" t="inlineStr">
        <is>
          <t>CEPA-101</t>
        </is>
      </c>
      <c r="B339" s="2" t="inlineStr">
        <is>
          <t>AC</t>
        </is>
      </c>
      <c r="C339" s="2" t="inlineStr">
        <is>
          <t>CA-5</t>
        </is>
      </c>
      <c r="D339" s="2" t="inlineStr">
        <is>
          <t>Dado una alerta del panel, cuando el usuario hace clic en ella, el sistema navega al caso/módulo de origen.</t>
        </is>
      </c>
      <c r="E339" s="2" t="inlineStr">
        <is>
          <t>TC-CEPA-101-005</t>
        </is>
      </c>
      <c r="F339" s="2" t="inlineStr"/>
    </row>
    <row r="340">
      <c r="A340" s="2" t="inlineStr">
        <is>
          <t>CEPA-101</t>
        </is>
      </c>
      <c r="B340" s="2" t="inlineStr">
        <is>
          <t>BR</t>
        </is>
      </c>
      <c r="C340" s="2" t="inlineStr">
        <is>
          <t>RN-3</t>
        </is>
      </c>
      <c r="D340" s="2" t="inlineStr">
        <is>
          <t>Perfiles habilitados: Coordinación, Administrativo, Auditor; el perfil Clínico no existe (D1) y no recibe panel.</t>
        </is>
      </c>
      <c r="E340" s="2" t="inlineStr">
        <is>
          <t>TC-CEPA-101-006</t>
        </is>
      </c>
      <c r="F340" s="2" t="inlineStr">
        <is>
          <t>RN-3</t>
        </is>
      </c>
    </row>
    <row r="341">
      <c r="A341" s="2" t="inlineStr">
        <is>
          <t>CEPA-101</t>
        </is>
      </c>
      <c r="B341" s="2" t="inlineStr">
        <is>
          <t>BR</t>
        </is>
      </c>
      <c r="C341" s="2" t="inlineStr">
        <is>
          <t>RN-6</t>
        </is>
      </c>
      <c r="D341" s="2" t="inlineStr">
        <is>
          <t>El panel refleja las alertas generadas por CEPA-100; ambas comparten el mismo origen de datos.</t>
        </is>
      </c>
      <c r="E341" s="2" t="inlineStr">
        <is>
          <t>TC-CEPA-101-007</t>
        </is>
      </c>
      <c r="F341" s="2" t="inlineStr">
        <is>
          <t>RN-6, RN-1</t>
        </is>
      </c>
    </row>
    <row r="342">
      <c r="A342" s="2" t="inlineStr">
        <is>
          <t>CEPA-101</t>
        </is>
      </c>
      <c r="B342" s="2" t="inlineStr">
        <is>
          <t>TC</t>
        </is>
      </c>
      <c r="C342" s="2" t="inlineStr">
        <is>
          <t>TC-101-05</t>
        </is>
      </c>
      <c r="D342" s="2" t="inlineStr">
        <is>
          <t>Borde: usuario sin alertas pendientes inicia sesión y el panel se muestra vacío / 'sin notificaciones' sin error.</t>
        </is>
      </c>
      <c r="E342" s="2" t="inlineStr">
        <is>
          <t>TC-CEPA-101-008</t>
        </is>
      </c>
      <c r="F342" s="2" t="inlineStr">
        <is>
          <t>RN-1</t>
        </is>
      </c>
    </row>
    <row r="343">
      <c r="A343" s="2" t="inlineStr">
        <is>
          <t>CEPA-102</t>
        </is>
      </c>
      <c r="B343" s="2" t="inlineStr">
        <is>
          <t>AC</t>
        </is>
      </c>
      <c r="C343" s="2" t="inlineStr">
        <is>
          <t>CA-1</t>
        </is>
      </c>
      <c r="D343" s="2" t="inlineStr">
        <is>
          <t>Dado una alerta generada para un usuario con correo, cuando el sistema procesa el envío, envía un correo vía SMTP institucional al responsable.</t>
        </is>
      </c>
      <c r="E343" s="2" t="inlineStr">
        <is>
          <t>TC-CEPA-102-001</t>
        </is>
      </c>
      <c r="F343" s="2" t="inlineStr">
        <is>
          <t>RN-2, RN-4, RN-6</t>
        </is>
      </c>
    </row>
    <row r="344">
      <c r="A344" s="2" t="inlineStr">
        <is>
          <t>CEPA-102</t>
        </is>
      </c>
      <c r="B344" s="2" t="inlineStr">
        <is>
          <t>AC</t>
        </is>
      </c>
      <c r="C344" s="2" t="inlineStr">
        <is>
          <t>CA-2</t>
        </is>
      </c>
      <c r="D344" s="2" t="inlineStr">
        <is>
          <t>Dado un evento que no es alerta, cuando el sistema evalúa enviar correo, NO se envía (email solo para alertas, D12).</t>
        </is>
      </c>
      <c r="E344" s="2" t="inlineStr">
        <is>
          <t>TC-CEPA-102-002</t>
        </is>
      </c>
      <c r="F344" s="2" t="inlineStr">
        <is>
          <t>RN-1</t>
        </is>
      </c>
    </row>
    <row r="345">
      <c r="A345" s="2" t="inlineStr">
        <is>
          <t>CEPA-102</t>
        </is>
      </c>
      <c r="B345" s="2" t="inlineStr">
        <is>
          <t>AC</t>
        </is>
      </c>
      <c r="C345" s="2" t="inlineStr">
        <is>
          <t>CA-3</t>
        </is>
      </c>
      <c r="D345" s="2" t="inlineStr">
        <is>
          <t>Dado SMTP no disponible, cuando el sistema intenta enviar, se degrada de forma controlada (in-app intacta) y el fallo queda registrado (PA6).</t>
        </is>
      </c>
      <c r="E345" s="2" t="inlineStr">
        <is>
          <t>TC-CEPA-102-003</t>
        </is>
      </c>
      <c r="F345" s="2" t="inlineStr">
        <is>
          <t>RN-2, RN-3, RN-4</t>
        </is>
      </c>
    </row>
    <row r="346">
      <c r="A346" s="2" t="inlineStr">
        <is>
          <t>CEPA-102</t>
        </is>
      </c>
      <c r="B346" s="2" t="inlineStr">
        <is>
          <t>AC</t>
        </is>
      </c>
      <c r="C346" s="2" t="inlineStr">
        <is>
          <t>CA-4</t>
        </is>
      </c>
      <c r="D346" s="2" t="inlineStr">
        <is>
          <t>Dado un correo de alerta ya enviado, cuando el proceso se vuelve a ejecutar, no se reenvía duplicado.</t>
        </is>
      </c>
      <c r="E346" s="2" t="inlineStr">
        <is>
          <t>TC-CEPA-102-004</t>
        </is>
      </c>
      <c r="F346" s="2" t="inlineStr">
        <is>
          <t>RN-4</t>
        </is>
      </c>
    </row>
    <row r="347">
      <c r="A347" s="2" t="inlineStr">
        <is>
          <t>CEPA-102</t>
        </is>
      </c>
      <c r="B347" s="2" t="inlineStr">
        <is>
          <t>BR</t>
        </is>
      </c>
      <c r="C347" s="2" t="inlineStr">
        <is>
          <t>RN-4</t>
        </is>
      </c>
      <c r="D347" s="2" t="inlineStr">
        <is>
          <t>Cada envío (éxito/fallo) se registra para trazabilidad; los fallos no bloquean la generación de alertas.</t>
        </is>
      </c>
      <c r="E347" s="2" t="inlineStr">
        <is>
          <t>TC-CEPA-102-005</t>
        </is>
      </c>
      <c r="F347" s="2" t="inlineStr">
        <is>
          <t>RN-4</t>
        </is>
      </c>
    </row>
    <row r="348">
      <c r="A348" s="2" t="inlineStr">
        <is>
          <t>CEPA-102</t>
        </is>
      </c>
      <c r="B348" s="2" t="inlineStr">
        <is>
          <t>BR</t>
        </is>
      </c>
      <c r="C348" s="2" t="inlineStr">
        <is>
          <t>RN-5</t>
        </is>
      </c>
      <c r="D348" s="2" t="inlineStr">
        <is>
          <t>WhatsApp queda fuera de alcance (P2) por ausencia de WABA; la arquitectura soporta canales futuros pero no se implementan en v1.</t>
        </is>
      </c>
      <c r="E348" s="2" t="inlineStr">
        <is>
          <t>TC-CEPA-102-006</t>
        </is>
      </c>
      <c r="F348" s="2" t="inlineStr">
        <is>
          <t>RN-5</t>
        </is>
      </c>
    </row>
    <row r="349">
      <c r="A349" s="2" t="inlineStr">
        <is>
          <t>CEPA-102</t>
        </is>
      </c>
      <c r="B349" s="2" t="inlineStr">
        <is>
          <t>BR</t>
        </is>
      </c>
      <c r="C349" s="2" t="inlineStr">
        <is>
          <t>RN-6</t>
        </is>
      </c>
      <c r="D349" s="2" t="inlineStr">
        <is>
          <t>Solo reciben correo los perfiles operativos con correo válido; el perfil Clínico no aplica (D1).</t>
        </is>
      </c>
      <c r="E349" s="2" t="inlineStr">
        <is>
          <t>TC-CEPA-102-007</t>
        </is>
      </c>
      <c r="F349" s="2" t="inlineStr">
        <is>
          <t>RN-6, RN-3</t>
        </is>
      </c>
    </row>
    <row r="350">
      <c r="A350" s="2" t="inlineStr">
        <is>
          <t>CEPA-103</t>
        </is>
      </c>
      <c r="B350" s="2" t="inlineStr">
        <is>
          <t>AC</t>
        </is>
      </c>
      <c r="C350" s="2" t="inlineStr">
        <is>
          <t>CA-1</t>
        </is>
      </c>
      <c r="D350" s="2" t="inlineStr">
        <is>
          <t>Dado un usuario con tareas pendientes asignadas a su rol, cuando accede a su sección de tareas, ve la lista que le corresponde según perfil y asignación.</t>
        </is>
      </c>
      <c r="E350" s="2" t="inlineStr">
        <is>
          <t>TC-CEPA-103-001</t>
        </is>
      </c>
      <c r="F350" s="2" t="inlineStr">
        <is>
          <t>RN-1, RN-2</t>
        </is>
      </c>
    </row>
    <row r="351">
      <c r="A351" s="2" t="inlineStr">
        <is>
          <t>CEPA-103</t>
        </is>
      </c>
      <c r="B351" s="2" t="inlineStr">
        <is>
          <t>AC</t>
        </is>
      </c>
      <c r="C351" s="2" t="inlineStr">
        <is>
          <t>CA-2</t>
        </is>
      </c>
      <c r="D351" s="2" t="inlineStr">
        <is>
          <t>Dado una tarea pendiente, cuando el usuario la marca como completada, cambia de estado, sale de pendientes y se registra quién y cuándo.</t>
        </is>
      </c>
      <c r="E351" s="2" t="inlineStr">
        <is>
          <t>TC-CEPA-103-002</t>
        </is>
      </c>
      <c r="F351" s="2" t="inlineStr">
        <is>
          <t>RN-3</t>
        </is>
      </c>
    </row>
    <row r="352">
      <c r="A352" s="2" t="inlineStr">
        <is>
          <t>CEPA-103</t>
        </is>
      </c>
      <c r="B352" s="2" t="inlineStr">
        <is>
          <t>AC</t>
        </is>
      </c>
      <c r="C352" s="2" t="inlineStr">
        <is>
          <t>CA-3</t>
        </is>
      </c>
      <c r="D352" s="2" t="inlineStr">
        <is>
          <t>Dado dos usuarios con tareas distintas, cuando cada uno abre su lista, cada uno ve solo sus tareas.</t>
        </is>
      </c>
      <c r="E352" s="2" t="inlineStr">
        <is>
          <t>TC-CEPA-103-003</t>
        </is>
      </c>
      <c r="F352" s="2" t="inlineStr">
        <is>
          <t>RN-1, RN-2</t>
        </is>
      </c>
    </row>
    <row r="353">
      <c r="A353" s="2" t="inlineStr">
        <is>
          <t>CEPA-103</t>
        </is>
      </c>
      <c r="B353" s="2" t="inlineStr">
        <is>
          <t>AC</t>
        </is>
      </c>
      <c r="C353" s="2" t="inlineStr">
        <is>
          <t>CA-4</t>
        </is>
      </c>
      <c r="D353" s="2" t="inlineStr">
        <is>
          <t>Dado un usuario de Coordinación, cuando abre tareas pendientes, puede ver el estado de tareas del equipo según su alcance de supervisión.</t>
        </is>
      </c>
      <c r="E353" s="2" t="inlineStr">
        <is>
          <t>TC-CEPA-103-004</t>
        </is>
      </c>
      <c r="F353" s="2" t="inlineStr">
        <is>
          <t>RN-2, RN-5</t>
        </is>
      </c>
    </row>
    <row r="354">
      <c r="A354" s="2" t="inlineStr">
        <is>
          <t>CEPA-103</t>
        </is>
      </c>
      <c r="B354" s="2" t="inlineStr">
        <is>
          <t>BR</t>
        </is>
      </c>
      <c r="C354" s="2" t="inlineStr">
        <is>
          <t>RN-2</t>
        </is>
      </c>
      <c r="D354" s="2" t="inlineStr">
        <is>
          <t>Perfiles aplicables: Administrativo (operación) y Coordinación (supervisión); el perfil Clínico no existe (D1).</t>
        </is>
      </c>
      <c r="E354" s="2" t="inlineStr">
        <is>
          <t>TC-CEPA-103-005</t>
        </is>
      </c>
      <c r="F354" s="2" t="inlineStr">
        <is>
          <t>RN-2</t>
        </is>
      </c>
    </row>
    <row r="355">
      <c r="A355" s="2" t="inlineStr">
        <is>
          <t>CEPA-103</t>
        </is>
      </c>
      <c r="B355" s="2" t="inlineStr">
        <is>
          <t>BR</t>
        </is>
      </c>
      <c r="C355" s="2" t="inlineStr">
        <is>
          <t>RN-4</t>
        </is>
      </c>
      <c r="D355" s="2" t="inlineStr">
        <is>
          <t>Las tareas se originan de procesos operativos y conviven con las alertas del motor (CEPA-100) sin duplicar su semántica de plazo.</t>
        </is>
      </c>
      <c r="E355" s="2" t="inlineStr">
        <is>
          <t>TC-CEPA-103-006</t>
        </is>
      </c>
      <c r="F355" s="2" t="inlineStr">
        <is>
          <t>RN-4</t>
        </is>
      </c>
    </row>
    <row r="356">
      <c r="A356" s="2" t="inlineStr">
        <is>
          <t>CEPA-103</t>
        </is>
      </c>
      <c r="B356" s="2" t="inlineStr">
        <is>
          <t>TC</t>
        </is>
      </c>
      <c r="C356" s="2" t="inlineStr">
        <is>
          <t>TC-103-05</t>
        </is>
      </c>
      <c r="D356" s="2" t="inlineStr">
        <is>
          <t>Borde: usuario sin tareas pendientes abre la lista y esta se muestra vacía sin error.</t>
        </is>
      </c>
      <c r="E356" s="2" t="inlineStr">
        <is>
          <t>TC-CEPA-103-007</t>
        </is>
      </c>
      <c r="F356" s="2" t="inlineStr"/>
    </row>
    <row r="357">
      <c r="A357" s="2" t="inlineStr">
        <is>
          <t>CEPA-110</t>
        </is>
      </c>
      <c r="B357" s="2" t="inlineStr">
        <is>
          <t>AC</t>
        </is>
      </c>
      <c r="C357" s="2" t="inlineStr">
        <is>
          <t>CA-1</t>
        </is>
      </c>
      <c r="D357" s="2" t="inlineStr">
        <is>
          <t>Dado el editor de formularios, cuando la coordinadora agrega un campo nuevo y publica, entonces el campo aparece en el formulario operativo sin despliegue de código.</t>
        </is>
      </c>
      <c r="E357" s="2" t="inlineStr">
        <is>
          <t>TC-CEPA-110-001</t>
        </is>
      </c>
      <c r="F357" s="2" t="inlineStr">
        <is>
          <t>RN-2, RN-5</t>
        </is>
      </c>
    </row>
    <row r="358">
      <c r="A358" s="2" t="inlineStr">
        <is>
          <t>CEPA-110</t>
        </is>
      </c>
      <c r="B358" s="2" t="inlineStr">
        <is>
          <t>AC</t>
        </is>
      </c>
      <c r="C358" s="2" t="inlineStr">
        <is>
          <t>CA-2</t>
        </is>
      </c>
      <c r="D358" s="2" t="inlineStr">
        <is>
          <t>Dado un campo no obligatorio, cuando la coordinadora lo elimina/desactiva y publica, entonces deja de mostrarse en nuevas capturas y los datos históricos se conservan.</t>
        </is>
      </c>
      <c r="E358" s="2" t="inlineStr">
        <is>
          <t>TC-CEPA-110-002</t>
        </is>
      </c>
      <c r="F358" s="2" t="inlineStr">
        <is>
          <t>RN-2, RN-3</t>
        </is>
      </c>
    </row>
    <row r="359">
      <c r="A359" s="2" t="inlineStr">
        <is>
          <t>CEPA-110</t>
        </is>
      </c>
      <c r="B359" s="2" t="inlineStr">
        <is>
          <t>AC</t>
        </is>
      </c>
      <c r="C359" s="2" t="inlineStr">
        <is>
          <t>CA-3</t>
        </is>
      </c>
      <c r="D359" s="2" t="inlineStr">
        <is>
          <t>Dado un formulario configurado, cuando la coordinadora guarda cambios como borrador, entonces no afectan producción hasta publicar la nueva versión.</t>
        </is>
      </c>
      <c r="E359" s="2" t="inlineStr">
        <is>
          <t>TC-CEPA-110-003</t>
        </is>
      </c>
      <c r="F359" s="2" t="inlineStr">
        <is>
          <t>RN-2</t>
        </is>
      </c>
    </row>
    <row r="360">
      <c r="A360" s="2" t="inlineStr">
        <is>
          <t>CEPA-110</t>
        </is>
      </c>
      <c r="B360" s="2" t="inlineStr">
        <is>
          <t>AC</t>
        </is>
      </c>
      <c r="C360" s="2" t="inlineStr">
        <is>
          <t>CA-4</t>
        </is>
      </c>
      <c r="D360" s="2" t="inlineStr">
        <is>
          <t>Dado un usuario sin perfil Coordinación, cuando intenta acceder al editor de formularios, entonces el sistema deniega el acceso (RBAC EPIC-00).</t>
        </is>
      </c>
      <c r="E360" s="2" t="inlineStr">
        <is>
          <t>TC-CEPA-110-004</t>
        </is>
      </c>
      <c r="F360" s="2" t="inlineStr">
        <is>
          <t>RN-1</t>
        </is>
      </c>
    </row>
    <row r="361">
      <c r="A361" s="2" t="inlineStr">
        <is>
          <t>CEPA-110</t>
        </is>
      </c>
      <c r="B361" s="2" t="inlineStr">
        <is>
          <t>BR</t>
        </is>
      </c>
      <c r="C361" s="2" t="inlineStr">
        <is>
          <t>RN-2</t>
        </is>
      </c>
      <c r="D361" s="2" t="inlineStr">
        <is>
          <t>Cada cambio publicado genera una nueva versión del formulario; las capturas previas mantienen la versión con que se crearon.</t>
        </is>
      </c>
      <c r="E361" s="2" t="inlineStr">
        <is>
          <t>TC-CEPA-110-005</t>
        </is>
      </c>
      <c r="F361" s="2" t="inlineStr">
        <is>
          <t>RN-2, RN-3</t>
        </is>
      </c>
    </row>
    <row r="362">
      <c r="A362" s="2" t="inlineStr">
        <is>
          <t>CEPA-110</t>
        </is>
      </c>
      <c r="B362" s="2" t="inlineStr">
        <is>
          <t>BR</t>
        </is>
      </c>
      <c r="C362" s="2" t="inlineStr">
        <is>
          <t>RN-4</t>
        </is>
      </c>
      <c r="D362" s="2" t="inlineStr">
        <is>
          <t>Todo cambio de configuración (alta/baja/modificación de campo, publicación) se registra en el log de auditoría de EPIC-00 (quién, qué, cuándo).</t>
        </is>
      </c>
      <c r="E362" s="2" t="inlineStr">
        <is>
          <t>TC-CEPA-110-006</t>
        </is>
      </c>
      <c r="F362" s="2" t="inlineStr">
        <is>
          <t>RN-4</t>
        </is>
      </c>
    </row>
    <row r="363">
      <c r="A363" s="2" t="inlineStr">
        <is>
          <t>CEPA-110</t>
        </is>
      </c>
      <c r="B363" s="2" t="inlineStr">
        <is>
          <t>BR</t>
        </is>
      </c>
      <c r="C363" s="2" t="inlineStr">
        <is>
          <t>RN-5</t>
        </is>
      </c>
      <c r="D363" s="2" t="inlineStr">
        <is>
          <t>No se permite publicar un formulario que no pase la validación de parametrización (CEPA-111, RN-1).</t>
        </is>
      </c>
      <c r="E363" s="2" t="inlineStr">
        <is>
          <t>TC-CEPA-110-007</t>
        </is>
      </c>
      <c r="F363" s="2" t="inlineStr">
        <is>
          <t>RN-5</t>
        </is>
      </c>
    </row>
    <row r="364">
      <c r="A364" s="2" t="inlineStr">
        <is>
          <t>CEPA-110</t>
        </is>
      </c>
      <c r="B364" s="2" t="inlineStr">
        <is>
          <t>TC</t>
        </is>
      </c>
      <c r="C364" s="2" t="inlineStr">
        <is>
          <t>TC-110-06</t>
        </is>
      </c>
      <c r="D364" s="2" t="inlineStr">
        <is>
          <t>Usuario Auditor autenticado intenta publicar cambios en un formulario; acceso denegado (Auditor es solo lectura).</t>
        </is>
      </c>
      <c r="E364" s="2" t="inlineStr">
        <is>
          <t>TC-CEPA-110-008</t>
        </is>
      </c>
      <c r="F364" s="2" t="inlineStr">
        <is>
          <t>RN-1</t>
        </is>
      </c>
    </row>
    <row r="365">
      <c r="A365" s="2" t="inlineStr">
        <is>
          <t>CEPA-111</t>
        </is>
      </c>
      <c r="B365" s="2" t="inlineStr">
        <is>
          <t>AC</t>
        </is>
      </c>
      <c r="C365" s="2" t="inlineStr">
        <is>
          <t>CA-1</t>
        </is>
      </c>
      <c r="D365" s="2" t="inlineStr">
        <is>
          <t>Dado un intento de publicación, cuando la validación detecta campo sin tipo/nomenclatura inválida/configuración inconsistente, entonces bloquea la publicación y lista los errores.</t>
        </is>
      </c>
      <c r="E365" s="2" t="inlineStr">
        <is>
          <t>TC-CEPA-111-001</t>
        </is>
      </c>
      <c r="F365" s="2" t="inlineStr">
        <is>
          <t>RN-1, RN-5</t>
        </is>
      </c>
    </row>
    <row r="366">
      <c r="A366" s="2" t="inlineStr">
        <is>
          <t>CEPA-111</t>
        </is>
      </c>
      <c r="B366" s="2" t="inlineStr">
        <is>
          <t>AC</t>
        </is>
      </c>
      <c r="C366" s="2" t="inlineStr">
        <is>
          <t>CA-2</t>
        </is>
      </c>
      <c r="D366" s="2" t="inlineStr">
        <is>
          <t>Dado un formulario con un campo obligatorio del sistema, cuando la coordinadora intenta quitarlo o desactivarlo, entonces el sistema impide la acción e informa que no es removible.</t>
        </is>
      </c>
      <c r="E366" s="2" t="inlineStr">
        <is>
          <t>TC-CEPA-111-002</t>
        </is>
      </c>
      <c r="F366" s="2" t="inlineStr">
        <is>
          <t>RN-2, RN-5</t>
        </is>
      </c>
    </row>
    <row r="367">
      <c r="A367" s="2" t="inlineStr">
        <is>
          <t>CEPA-111</t>
        </is>
      </c>
      <c r="B367" s="2" t="inlineStr">
        <is>
          <t>AC</t>
        </is>
      </c>
      <c r="C367" s="2" t="inlineStr">
        <is>
          <t>CA-3</t>
        </is>
      </c>
      <c r="D367" s="2" t="inlineStr">
        <is>
          <t>Dado un formulario con campos obligatorios presentes y bien parametrizados, cuando la coordinadora publica, entonces la publicación se completa y queda marcado como válido.</t>
        </is>
      </c>
      <c r="E367" s="2" t="inlineStr">
        <is>
          <t>TC-CEPA-111-003</t>
        </is>
      </c>
      <c r="F367" s="2" t="inlineStr">
        <is>
          <t>RN-1, RN-3, RN-5</t>
        </is>
      </c>
    </row>
    <row r="368">
      <c r="A368" s="2" t="inlineStr">
        <is>
          <t>CEPA-111</t>
        </is>
      </c>
      <c r="B368" s="2" t="inlineStr">
        <is>
          <t>AC</t>
        </is>
      </c>
      <c r="C368" s="2" t="inlineStr">
        <is>
          <t>CA-4</t>
        </is>
      </c>
      <c r="D368" s="2" t="inlineStr">
        <is>
          <t>Dado un campo obligatorio de dominio cerrado, cuando un administrativo guarda dejándolo vacío, entonces el sistema rechaza el guardado e indica el campo faltante.</t>
        </is>
      </c>
      <c r="E368" s="2" t="inlineStr">
        <is>
          <t>TC-CEPA-111-004</t>
        </is>
      </c>
      <c r="F368" s="2" t="inlineStr">
        <is>
          <t>RN-4</t>
        </is>
      </c>
    </row>
    <row r="369">
      <c r="A369" s="2" t="inlineStr">
        <is>
          <t>CEPA-111</t>
        </is>
      </c>
      <c r="B369" s="2" t="inlineStr">
        <is>
          <t>BR</t>
        </is>
      </c>
      <c r="C369" s="2" t="inlineStr">
        <is>
          <t>RN-3</t>
        </is>
      </c>
      <c r="D369" s="2" t="inlineStr">
        <is>
          <t>Los campos obligatorios usan nomenclatura estandarizada (identificador y dominio controlado) para que la información sea comparable entre módulos y reportes.</t>
        </is>
      </c>
      <c r="E369" s="2" t="inlineStr">
        <is>
          <t>TC-CEPA-111-005</t>
        </is>
      </c>
      <c r="F369" s="2" t="inlineStr">
        <is>
          <t>RN-3</t>
        </is>
      </c>
    </row>
    <row r="370">
      <c r="A370" s="2" t="inlineStr">
        <is>
          <t>CEPA-111</t>
        </is>
      </c>
      <c r="B370" s="2" t="inlineStr">
        <is>
          <t>BR</t>
        </is>
      </c>
      <c r="C370" s="2" t="inlineStr">
        <is>
          <t>RN-4</t>
        </is>
      </c>
      <c r="D370" s="2" t="inlineStr">
        <is>
          <t>Los campos de dominio cerrado solo aceptan valores del catálogo definido; los obligatorios no admiten valor vacío.</t>
        </is>
      </c>
      <c r="E370" s="2" t="inlineStr">
        <is>
          <t>TC-CEPA-111-006</t>
        </is>
      </c>
      <c r="F370" s="2" t="inlineStr">
        <is>
          <t>RN-4</t>
        </is>
      </c>
    </row>
    <row r="371">
      <c r="A371" s="2" t="inlineStr">
        <is>
          <t>CEPA-111</t>
        </is>
      </c>
      <c r="B371" s="2" t="inlineStr">
        <is>
          <t>BR</t>
        </is>
      </c>
      <c r="C371" s="2" t="inlineStr">
        <is>
          <t>RN-5</t>
        </is>
      </c>
      <c r="D371" s="2" t="inlineStr">
        <is>
          <t>Cada intento de publicación (exitoso o bloqueado) y cada intento de remoción de campo obligatorio se registran en el log de auditoría de EPIC-00.</t>
        </is>
      </c>
      <c r="E371" s="2" t="inlineStr">
        <is>
          <t>TC-CEPA-111-007</t>
        </is>
      </c>
      <c r="F371" s="2" t="inlineStr">
        <is>
          <t>RN-5</t>
        </is>
      </c>
    </row>
    <row r="372">
      <c r="A372" s="2" t="inlineStr">
        <is>
          <t>CEPA-111</t>
        </is>
      </c>
      <c r="B372" s="2" t="inlineStr">
        <is>
          <t>TC</t>
        </is>
      </c>
      <c r="C372" s="2" t="inlineStr">
        <is>
          <t>TC-111-06</t>
        </is>
      </c>
      <c r="D372" s="2" t="inlineStr">
        <is>
          <t>Usuario Administrativo intenta modificar la parametrización de campos obligatorios; acceso denegado por RBAC EPIC-00 (solo Coordinación).</t>
        </is>
      </c>
      <c r="E372" s="2" t="inlineStr">
        <is>
          <t>TC-CEPA-111-008</t>
        </is>
      </c>
      <c r="F372" s="2" t="inlineStr"/>
    </row>
    <row r="373">
      <c r="A373" s="2" t="inlineStr">
        <is>
          <t>CEPA-112</t>
        </is>
      </c>
      <c r="B373" s="2" t="inlineStr">
        <is>
          <t>AC</t>
        </is>
      </c>
      <c r="C373" s="2" t="inlineStr">
        <is>
          <t>CA-1</t>
        </is>
      </c>
      <c r="D373" s="2" t="inlineStr">
        <is>
          <t>Dado un PDF legible con datos sociodemográficos, cuando el sistema lo procesa, entonces muestra los campos extraídos pre-llenados para revisión.</t>
        </is>
      </c>
      <c r="E373" s="2" t="inlineStr">
        <is>
          <t>TC-CEPA-112-001</t>
        </is>
      </c>
      <c r="F373" s="2" t="inlineStr">
        <is>
          <t>RN-1</t>
        </is>
      </c>
    </row>
    <row r="374">
      <c r="A374" s="2" t="inlineStr">
        <is>
          <t>CEPA-112</t>
        </is>
      </c>
      <c r="B374" s="2" t="inlineStr">
        <is>
          <t>AC</t>
        </is>
      </c>
      <c r="C374" s="2" t="inlineStr">
        <is>
          <t>CA-2</t>
        </is>
      </c>
      <c r="D374" s="2" t="inlineStr">
        <is>
          <t>Dado un PDF con datos pre-llenados, cuando el administrativo corrige valores y confirma, entonces se guardan los datos editados (la edición humana prevalece).</t>
        </is>
      </c>
      <c r="E374" s="2" t="inlineStr">
        <is>
          <t>TC-CEPA-112-002</t>
        </is>
      </c>
      <c r="F374" s="2" t="inlineStr">
        <is>
          <t>RN-1, RN-4</t>
        </is>
      </c>
    </row>
    <row r="375">
      <c r="A375" s="2" t="inlineStr">
        <is>
          <t>CEPA-112</t>
        </is>
      </c>
      <c r="B375" s="2" t="inlineStr">
        <is>
          <t>AC</t>
        </is>
      </c>
      <c r="C375" s="2" t="inlineStr">
        <is>
          <t>CA-3</t>
        </is>
      </c>
      <c r="D375" s="2" t="inlineStr">
        <is>
          <t>Dado un archivo no PDF o PDF ilegible, cuando el administrativo intenta cargarlo, entonces el sistema informa que no pudo extraer datos y permite la captura manual.</t>
        </is>
      </c>
      <c r="E375" s="2" t="inlineStr">
        <is>
          <t>TC-CEPA-112-003</t>
        </is>
      </c>
      <c r="F375" s="2" t="inlineStr">
        <is>
          <t>RN-3</t>
        </is>
      </c>
    </row>
    <row r="376">
      <c r="A376" s="2" t="inlineStr">
        <is>
          <t>CEPA-112</t>
        </is>
      </c>
      <c r="B376" s="2" t="inlineStr">
        <is>
          <t>AC</t>
        </is>
      </c>
      <c r="C376" s="2" t="inlineStr">
        <is>
          <t>CA-4</t>
        </is>
      </c>
      <c r="D376" s="2" t="inlineStr">
        <is>
          <t>Dado un usuario sin permiso de captura sobre el módulo destino, cuando intenta cargar un PDF para extracción, entonces el sistema deniega la acción (RBAC EPIC-00).</t>
        </is>
      </c>
      <c r="E376" s="2" t="inlineStr">
        <is>
          <t>TC-CEPA-112-004</t>
        </is>
      </c>
      <c r="F376" s="2" t="inlineStr"/>
    </row>
    <row r="377">
      <c r="A377" s="2" t="inlineStr">
        <is>
          <t>CEPA-112</t>
        </is>
      </c>
      <c r="B377" s="2" t="inlineStr">
        <is>
          <t>BR</t>
        </is>
      </c>
      <c r="C377" s="2" t="inlineStr">
        <is>
          <t>RN-2</t>
        </is>
      </c>
      <c r="D377" s="2" t="inlineStr">
        <is>
          <t>El aplicativo no escribe sobre SALUTEM/SAM (D12); la lectura de PDF alimenta únicamente los módulos del Sistema CEPA.</t>
        </is>
      </c>
      <c r="E377" s="2" t="inlineStr">
        <is>
          <t>TC-CEPA-112-005</t>
        </is>
      </c>
      <c r="F377" s="2" t="inlineStr">
        <is>
          <t>RN-2</t>
        </is>
      </c>
    </row>
    <row r="378">
      <c r="A378" s="2" t="inlineStr">
        <is>
          <t>CEPA-112</t>
        </is>
      </c>
      <c r="B378" s="2" t="inlineStr">
        <is>
          <t>BR</t>
        </is>
      </c>
      <c r="C378" s="2" t="inlineStr">
        <is>
          <t>RN-3</t>
        </is>
      </c>
      <c r="D378" s="2" t="inlineStr">
        <is>
          <t>Si la extracción falla o el PDF es ilegible, el sistema degrada con gracia a captura manual sin perder el documento cargado.</t>
        </is>
      </c>
      <c r="E378" s="2" t="inlineStr">
        <is>
          <t>TC-CEPA-112-006</t>
        </is>
      </c>
      <c r="F378" s="2" t="inlineStr">
        <is>
          <t>RN-3</t>
        </is>
      </c>
    </row>
    <row r="379">
      <c r="A379" s="2" t="inlineStr">
        <is>
          <t>CEPA-112</t>
        </is>
      </c>
      <c r="B379" s="2" t="inlineStr">
        <is>
          <t>BR</t>
        </is>
      </c>
      <c r="C379" s="2" t="inlineStr">
        <is>
          <t>RN-4</t>
        </is>
      </c>
      <c r="D379" s="2" t="inlineStr">
        <is>
          <t>Los datos confirmados se validan contra las reglas de campos obligatorios y dominios (CEPA-111) antes de guardar.</t>
        </is>
      </c>
      <c r="E379" s="2" t="inlineStr">
        <is>
          <t>TC-CEPA-112-007</t>
        </is>
      </c>
      <c r="F379" s="2" t="inlineStr">
        <is>
          <t>RN-4</t>
        </is>
      </c>
    </row>
    <row r="380">
      <c r="A380" s="2" t="inlineStr">
        <is>
          <t>CEPA-112</t>
        </is>
      </c>
      <c r="B380" s="2" t="inlineStr">
        <is>
          <t>BR</t>
        </is>
      </c>
      <c r="C380" s="2" t="inlineStr">
        <is>
          <t>RN-5</t>
        </is>
      </c>
      <c r="D380" s="2" t="inlineStr">
        <is>
          <t>La carga del documento y el guardado de los datos extraídos/editados se registran en el log de auditoría de EPIC-00.</t>
        </is>
      </c>
      <c r="E380" s="2" t="inlineStr">
        <is>
          <t>TC-CEPA-112-008</t>
        </is>
      </c>
      <c r="F380" s="2" t="inlineStr">
        <is>
          <t>RN-5</t>
        </is>
      </c>
    </row>
    <row r="381">
      <c r="A381" s="2" t="inlineStr">
        <is>
          <t>CEPA-120</t>
        </is>
      </c>
      <c r="B381" s="2" t="inlineStr">
        <is>
          <t>AC</t>
        </is>
      </c>
      <c r="C381" s="2" t="inlineStr">
        <is>
          <t>CA-1</t>
        </is>
      </c>
      <c r="D381" s="2" t="inlineStr">
        <is>
          <t>Dado cliente con JWT válido, cuando invoca /api/v1 con JSON, entonces responde 200/201 con JSON conforme al contrato.</t>
        </is>
      </c>
      <c r="E381" s="2" t="inlineStr">
        <is>
          <t>TC-CEPA-120-001</t>
        </is>
      </c>
      <c r="F381" s="2" t="inlineStr">
        <is>
          <t>RN-1, RN-2, RN-3</t>
        </is>
      </c>
    </row>
    <row r="382">
      <c r="A382" s="2" t="inlineStr">
        <is>
          <t>CEPA-120</t>
        </is>
      </c>
      <c r="B382" s="2" t="inlineStr">
        <is>
          <t>AC</t>
        </is>
      </c>
      <c r="C382" s="2" t="inlineStr">
        <is>
          <t>CA-2</t>
        </is>
      </c>
      <c r="D382" s="2" t="inlineStr">
        <is>
          <t>Dado cliente sin token o con JWT inválido/expirado, cuando invoca endpoint protegido, entonces 401 con JSON de error sin datos del recurso.</t>
        </is>
      </c>
      <c r="E382" s="2" t="inlineStr">
        <is>
          <t>TC-CEPA-120-002</t>
        </is>
      </c>
      <c r="F382" s="2" t="inlineStr">
        <is>
          <t>RN-2, RN-3</t>
        </is>
      </c>
    </row>
    <row r="383">
      <c r="A383" s="2" t="inlineStr">
        <is>
          <t>CEPA-120</t>
        </is>
      </c>
      <c r="B383" s="2" t="inlineStr">
        <is>
          <t>AC</t>
        </is>
      </c>
      <c r="C383" s="2" t="inlineStr">
        <is>
          <t>CA-3</t>
        </is>
      </c>
      <c r="D383" s="2" t="inlineStr">
        <is>
          <t>Dado documentación automática, cuando se accede a Swagger/OpenAPI, entonces se listan el 100% de los endpoints con esquemas, errores y auth.</t>
        </is>
      </c>
      <c r="E383" s="2" t="inlineStr">
        <is>
          <t>TC-CEPA-120-003</t>
        </is>
      </c>
      <c r="F383" s="2" t="inlineStr">
        <is>
          <t>RN-5</t>
        </is>
      </c>
    </row>
    <row r="384">
      <c r="A384" s="2" t="inlineStr">
        <is>
          <t>CEPA-120</t>
        </is>
      </c>
      <c r="B384" s="2" t="inlineStr">
        <is>
          <t>AC</t>
        </is>
      </c>
      <c r="C384" s="2" t="inlineStr">
        <is>
          <t>CA-4</t>
        </is>
      </c>
      <c r="D384" s="2" t="inlineStr">
        <is>
          <t>Dado cliente que supera el límite por ventana, cuando envía una solicitud adicional, entonces 429 con tiempo de reintento.</t>
        </is>
      </c>
      <c r="E384" s="2" t="inlineStr">
        <is>
          <t>TC-CEPA-120-004</t>
        </is>
      </c>
      <c r="F384" s="2" t="inlineStr">
        <is>
          <t>RN-4, RN-3</t>
        </is>
      </c>
    </row>
    <row r="385">
      <c r="A385" s="2" t="inlineStr">
        <is>
          <t>CEPA-120</t>
        </is>
      </c>
      <c r="B385" s="2" t="inlineStr">
        <is>
          <t>AC</t>
        </is>
      </c>
      <c r="C385" s="2" t="inlineStr">
        <is>
          <t>CA-5</t>
        </is>
      </c>
      <c r="D385" s="2" t="inlineStr">
        <is>
          <t>Dado v1 publicada, cuando se publica v2 con cambios incompatibles, entonces v1 sigue operativa y los clientes no se rompen.</t>
        </is>
      </c>
      <c r="E385" s="2" t="inlineStr">
        <is>
          <t>TC-CEPA-120-005</t>
        </is>
      </c>
      <c r="F385" s="2" t="inlineStr">
        <is>
          <t>RN-1</t>
        </is>
      </c>
    </row>
    <row r="386">
      <c r="A386" s="2" t="inlineStr">
        <is>
          <t>CEPA-120</t>
        </is>
      </c>
      <c r="B386" s="2" t="inlineStr">
        <is>
          <t>BR</t>
        </is>
      </c>
      <c r="C386" s="2" t="inlineStr">
        <is>
          <t>RN-3</t>
        </is>
      </c>
      <c r="D386" s="2" t="inlineStr">
        <is>
          <t>Request/response en JSON; errores con códigos HTTP estándar y cuerpo JSON uniforme.</t>
        </is>
      </c>
      <c r="E386" s="2" t="inlineStr">
        <is>
          <t>TC-CEPA-120-006</t>
        </is>
      </c>
      <c r="F386" s="2" t="inlineStr">
        <is>
          <t>RN-3</t>
        </is>
      </c>
    </row>
    <row r="387">
      <c r="A387" s="2" t="inlineStr">
        <is>
          <t>CEPA-120</t>
        </is>
      </c>
      <c r="B387" s="2" t="inlineStr">
        <is>
          <t>BR</t>
        </is>
      </c>
      <c r="C387" s="2" t="inlineStr">
        <is>
          <t>RN-6</t>
        </is>
      </c>
      <c r="D387" s="2" t="inlineStr">
        <is>
          <t>Toda operación de integración que crea o modifica datos queda en el log de auditoría (quién/qué/cuándo).</t>
        </is>
      </c>
      <c r="E387" s="2" t="inlineStr">
        <is>
          <t>TC-CEPA-120-007</t>
        </is>
      </c>
      <c r="F387" s="2" t="inlineStr">
        <is>
          <t>RN-6, RN-2</t>
        </is>
      </c>
    </row>
    <row r="388">
      <c r="A388" s="2" t="inlineStr">
        <is>
          <t>CEPA-121</t>
        </is>
      </c>
      <c r="B388" s="2" t="inlineStr">
        <is>
          <t>AC</t>
        </is>
      </c>
      <c r="C388" s="2" t="inlineStr">
        <is>
          <t>CA-1</t>
        </is>
      </c>
      <c r="D388" s="2" t="inlineStr">
        <is>
          <t>Dado cliente autenticado, cuando busca paciente por RUT/nombre/folio, entonces devuelve datos o 404, y permite CRUD según permisos.</t>
        </is>
      </c>
      <c r="E388" s="2" t="inlineStr">
        <is>
          <t>TC-CEPA-121-001</t>
        </is>
      </c>
      <c r="F388" s="2" t="inlineStr">
        <is>
          <t>RN-3, RN-6</t>
        </is>
      </c>
    </row>
    <row r="389">
      <c r="A389" s="2" t="inlineStr">
        <is>
          <t>CEPA-121</t>
        </is>
      </c>
      <c r="B389" s="2" t="inlineStr">
        <is>
          <t>AC</t>
        </is>
      </c>
      <c r="C389" s="2" t="inlineStr">
        <is>
          <t>CA-2</t>
        </is>
      </c>
      <c r="D389" s="2" t="inlineStr">
        <is>
          <t>Dado un ingreso existente, cuando el cliente consulta o actualiza su estado, entonces la API refleja el estado y persiste con trazabilidad.</t>
        </is>
      </c>
      <c r="E389" s="2" t="inlineStr">
        <is>
          <t>TC-CEPA-121-002</t>
        </is>
      </c>
      <c r="F389" s="2" t="inlineStr">
        <is>
          <t>RN-4, RN-7</t>
        </is>
      </c>
    </row>
    <row r="390">
      <c r="A390" s="2" t="inlineStr">
        <is>
          <t>CEPA-121</t>
        </is>
      </c>
      <c r="B390" s="2" t="inlineStr">
        <is>
          <t>AC</t>
        </is>
      </c>
      <c r="C390" s="2" t="inlineStr">
        <is>
          <t>CA-3</t>
        </is>
      </c>
      <c r="D390" s="2" t="inlineStr">
        <is>
          <t>Dado sistema externo integrado, cuando envía (push) o solicita (pull) datos clínicos, entonces la API procesa ambos sentidos confirmando con HTTP estándar.</t>
        </is>
      </c>
      <c r="E390" s="2" t="inlineStr">
        <is>
          <t>TC-CEPA-121-003</t>
        </is>
      </c>
      <c r="F390" s="2" t="inlineStr">
        <is>
          <t>RN-1, RN-7</t>
        </is>
      </c>
    </row>
    <row r="391">
      <c r="A391" s="2" t="inlineStr">
        <is>
          <t>CEPA-121</t>
        </is>
      </c>
      <c r="B391" s="2" t="inlineStr">
        <is>
          <t>AC</t>
        </is>
      </c>
      <c r="C391" s="2" t="inlineStr">
        <is>
          <t>CA-4</t>
        </is>
      </c>
      <c r="D391" s="2" t="inlineStr">
        <is>
          <t>Dado paciente con licencias, cuando consulta el recurso de licencias, entonces devuelve historial y total de días acumulados del folio.</t>
        </is>
      </c>
      <c r="E391" s="2" t="inlineStr">
        <is>
          <t>TC-CEPA-121-004</t>
        </is>
      </c>
      <c r="F391" s="2" t="inlineStr">
        <is>
          <t>RN-5</t>
        </is>
      </c>
    </row>
    <row r="392">
      <c r="A392" s="2" t="inlineStr">
        <is>
          <t>CEPA-121</t>
        </is>
      </c>
      <c r="B392" s="2" t="inlineStr">
        <is>
          <t>AC</t>
        </is>
      </c>
      <c r="C392" s="2" t="inlineStr">
        <is>
          <t>CA-5</t>
        </is>
      </c>
      <c r="D392" s="2" t="inlineStr">
        <is>
          <t>Dado el intercambio bidireccional, cuando CEPA procesa datos de SAM/SALUTEM, entonces no escribe sobre SALUTEM y persiste en el dominio CEPA.</t>
        </is>
      </c>
      <c r="E392" s="2" t="inlineStr">
        <is>
          <t>TC-CEPA-121-005</t>
        </is>
      </c>
      <c r="F392" s="2" t="inlineStr">
        <is>
          <t>RN-1, RN-2</t>
        </is>
      </c>
    </row>
    <row r="393">
      <c r="A393" s="2" t="inlineStr">
        <is>
          <t>CEPA-121</t>
        </is>
      </c>
      <c r="B393" s="2" t="inlineStr">
        <is>
          <t>BR</t>
        </is>
      </c>
      <c r="C393" s="2" t="inlineStr">
        <is>
          <t>RN-3</t>
        </is>
      </c>
      <c r="D393" s="2" t="inlineStr">
        <is>
          <t>Pacientes soporta CRUD y búsqueda por RUT (con validación de DV), nombre y folio.</t>
        </is>
      </c>
      <c r="E393" s="2" t="inlineStr">
        <is>
          <t>TC-CEPA-121-006</t>
        </is>
      </c>
      <c r="F393" s="2" t="inlineStr">
        <is>
          <t>RN-3</t>
        </is>
      </c>
    </row>
    <row r="394">
      <c r="A394" s="2" t="inlineStr">
        <is>
          <t>CEPA-121</t>
        </is>
      </c>
      <c r="B394" s="2" t="inlineStr">
        <is>
          <t>BR</t>
        </is>
      </c>
      <c r="C394" s="2" t="inlineStr">
        <is>
          <t>RN-6</t>
        </is>
      </c>
      <c r="D394" s="2" t="inlineStr">
        <is>
          <t>Solo se exponen los recursos definidos en §8.2; no se inventan endpoints adicionales.</t>
        </is>
      </c>
      <c r="E394" s="2" t="inlineStr">
        <is>
          <t>TC-CEPA-121-007</t>
        </is>
      </c>
      <c r="F394" s="2" t="inlineStr">
        <is>
          <t>RN-6, RN-4</t>
        </is>
      </c>
    </row>
    <row r="395">
      <c r="A395" s="2" t="inlineStr">
        <is>
          <t>CEPA-121</t>
        </is>
      </c>
      <c r="B395" s="2" t="inlineStr">
        <is>
          <t>BR</t>
        </is>
      </c>
      <c r="C395" s="2" t="inlineStr">
        <is>
          <t>RN-7</t>
        </is>
      </c>
      <c r="D395" s="2" t="inlineStr">
        <is>
          <t>Toda operación de escritura/recepción se registra en el log de auditoría (consistente con OI1 y RBAC).</t>
        </is>
      </c>
      <c r="E395" s="2" t="inlineStr">
        <is>
          <t>TC-CEPA-121-008</t>
        </is>
      </c>
      <c r="F395" s="2" t="inlineStr">
        <is>
          <t>RN-7</t>
        </is>
      </c>
    </row>
    <row r="396">
      <c r="A396" s="2" t="inlineStr">
        <is>
          <t>CEPA-121</t>
        </is>
      </c>
      <c r="B396" s="2" t="inlineStr">
        <is>
          <t>TC</t>
        </is>
      </c>
      <c r="C396" s="2" t="inlineStr">
        <is>
          <t>TC-121-06</t>
        </is>
      </c>
      <c r="D396" s="2" t="inlineStr">
        <is>
          <t>Intentar actualizar estado de un Ingreso con token sin permiso → 403 Forbidden, sin cambios en el ingreso.</t>
        </is>
      </c>
      <c r="E396" s="2" t="inlineStr">
        <is>
          <t>TC-CEPA-121-009</t>
        </is>
      </c>
      <c r="F396" s="2" t="inlineStr">
        <is>
          <t>RN-4, RN-7</t>
        </is>
      </c>
    </row>
    <row r="397">
      <c r="A397" s="2" t="inlineStr">
        <is>
          <t>CEPA-122</t>
        </is>
      </c>
      <c r="B397" s="2" t="inlineStr">
        <is>
          <t>AC</t>
        </is>
      </c>
      <c r="C397" s="2" t="inlineStr">
        <is>
          <t>CA-1</t>
        </is>
      </c>
      <c r="D397" s="2" t="inlineStr">
        <is>
          <t>Dado cliente IMED autenticado, cuando envía una licencia médica electrónica, entonces CEPA la persiste vinculada al paciente/folio y confirma con HTTP estándar.</t>
        </is>
      </c>
      <c r="E397" s="2" t="inlineStr">
        <is>
          <t>TC-CEPA-122-001</t>
        </is>
      </c>
      <c r="F397" s="2" t="inlineStr">
        <is>
          <t>RN-1, RN-3</t>
        </is>
      </c>
    </row>
    <row r="398">
      <c r="A398" s="2" t="inlineStr">
        <is>
          <t>CEPA-122</t>
        </is>
      </c>
      <c r="B398" s="2" t="inlineStr">
        <is>
          <t>AC</t>
        </is>
      </c>
      <c r="C398" s="2" t="inlineStr">
        <is>
          <t>CA-2</t>
        </is>
      </c>
      <c r="D398" s="2" t="inlineStr">
        <is>
          <t>Dado cliente IMED autenticado, cuando envía una receta electrónica, entonces CEPA la persiste vinculada al folio del paciente.</t>
        </is>
      </c>
      <c r="E398" s="2" t="inlineStr">
        <is>
          <t>TC-CEPA-122-002</t>
        </is>
      </c>
      <c r="F398" s="2" t="inlineStr">
        <is>
          <t>RN-1, RN-3</t>
        </is>
      </c>
    </row>
    <row r="399">
      <c r="A399" s="2" t="inlineStr">
        <is>
          <t>CEPA-122</t>
        </is>
      </c>
      <c r="B399" s="2" t="inlineStr">
        <is>
          <t>AC</t>
        </is>
      </c>
      <c r="C399" s="2" t="inlineStr">
        <is>
          <t>CA-3</t>
        </is>
      </c>
      <c r="D399" s="2" t="inlineStr">
        <is>
          <t>Dado que IMED es P2 y depende de PA5, cuando se difiere, entonces la arquitectura permite habilitarla a futuro sin rediseño del contrato v1.</t>
        </is>
      </c>
      <c r="E399" s="2" t="inlineStr">
        <is>
          <t>TC-CEPA-122-003</t>
        </is>
      </c>
      <c r="F399" s="2" t="inlineStr">
        <is>
          <t>RN-2, RN-4</t>
        </is>
      </c>
    </row>
    <row r="400">
      <c r="A400" s="2" t="inlineStr">
        <is>
          <t>CEPA-122</t>
        </is>
      </c>
      <c r="B400" s="2" t="inlineStr">
        <is>
          <t>BR</t>
        </is>
      </c>
      <c r="C400" s="2" t="inlineStr">
        <is>
          <t>RN-3</t>
        </is>
      </c>
      <c r="D400" s="2" t="inlineStr">
        <is>
          <t>Los datos recibidos desde IMED se vinculan al folio del paciente y se registran en el log de auditoría.</t>
        </is>
      </c>
      <c r="E400" s="2" t="inlineStr">
        <is>
          <t>TC-CEPA-122-004</t>
        </is>
      </c>
      <c r="F400" s="2" t="inlineStr">
        <is>
          <t>RN-3, RN-1</t>
        </is>
      </c>
    </row>
    <row r="401">
      <c r="A401" s="2" t="inlineStr">
        <is>
          <t>CEPA-122</t>
        </is>
      </c>
      <c r="B401" s="2" t="inlineStr">
        <is>
          <t>BR</t>
        </is>
      </c>
      <c r="C401" s="2" t="inlineStr">
        <is>
          <t>RN-4</t>
        </is>
      </c>
      <c r="D401" s="2" t="inlineStr">
        <is>
          <t>IMED reutiliza los principios de §8.1 (versionado, JWT, JSON, rate limiting); no introduce un contrato paralelo.</t>
        </is>
      </c>
      <c r="E401" s="2" t="inlineStr">
        <is>
          <t>TC-CEPA-122-005</t>
        </is>
      </c>
      <c r="F401" s="2" t="inlineStr">
        <is>
          <t>RN-4</t>
        </is>
      </c>
    </row>
    <row r="402">
      <c r="A402" s="2" t="inlineStr">
        <is>
          <t>CEPA-122</t>
        </is>
      </c>
      <c r="B402" s="2" t="inlineStr">
        <is>
          <t>TC</t>
        </is>
      </c>
      <c r="C402" s="2" t="inlineStr">
        <is>
          <t>TC-122-03</t>
        </is>
      </c>
      <c r="D402" s="2" t="inlineStr">
        <is>
          <t>Enviar licencia IMED sin campos obligatorios → 422 Unprocessable Entity; nada se persiste.</t>
        </is>
      </c>
      <c r="E402" s="2" t="inlineStr">
        <is>
          <t>TC-CEPA-122-006</t>
        </is>
      </c>
      <c r="F402" s="2" t="inlineStr">
        <is>
          <t>RN-1</t>
        </is>
      </c>
    </row>
    <row r="403">
      <c r="A403" s="2" t="inlineStr">
        <is>
          <t>CEPA-122</t>
        </is>
      </c>
      <c r="B403" s="2" t="inlineStr">
        <is>
          <t>TC</t>
        </is>
      </c>
      <c r="C403" s="2" t="inlineStr">
        <is>
          <t>TC-122-04</t>
        </is>
      </c>
      <c r="D403" s="2" t="inlineStr">
        <is>
          <t>Enviar receta con token no autorizado para IMED → 403 Forbidden.</t>
        </is>
      </c>
      <c r="E403" s="2" t="inlineStr">
        <is>
          <t>TC-CEPA-122-007</t>
        </is>
      </c>
      <c r="F403" s="2" t="inlineStr">
        <is>
          <t>RN-1</t>
        </is>
      </c>
    </row>
  </sheetData>
  <autoFilter ref="A1:F4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42" customWidth="1" min="1" max="1"/>
    <col width="16" customWidth="1" min="2" max="2"/>
  </cols>
  <sheetData>
    <row r="1">
      <c r="A1" s="7" t="inlineStr">
        <is>
          <t>Test Cases &amp; RTM — Sistema CEPA — generado 2026-07-02</t>
        </is>
      </c>
    </row>
    <row r="3">
      <c r="A3" s="8" t="inlineStr">
        <is>
          <t>Total Test Cases</t>
        </is>
      </c>
      <c r="B3" s="9">
        <f>COUNTA('Test Cases'!B2:B403)</f>
        <v/>
      </c>
    </row>
    <row r="4">
      <c r="A4" s="8" t="inlineStr">
        <is>
          <t>Historias de usuario cubiertas</t>
        </is>
      </c>
      <c r="B4" s="9">
        <f>SUMPRODUCT((COUNTIF(RTM!A2:A403,RTM!A2:A403)&gt;0)/COUNTIF(RTM!A2:A403,RTM!A2:A403))</f>
        <v/>
      </c>
    </row>
    <row r="6">
      <c r="A6" s="8" t="inlineStr">
        <is>
          <t>Por Categoría</t>
        </is>
      </c>
      <c r="B6" s="9" t="n"/>
    </row>
    <row r="7">
      <c r="A7" s="9" t="inlineStr">
        <is>
          <t xml:space="preserve">  Business Rules</t>
        </is>
      </c>
      <c r="B7" s="9">
        <f>COUNTIF('Test Cases'!C2:C403,"Business Rules")</f>
        <v/>
      </c>
    </row>
    <row r="8">
      <c r="A8" s="9" t="inlineStr">
        <is>
          <t xml:space="preserve">  Data Integrity</t>
        </is>
      </c>
      <c r="B8" s="9">
        <f>COUNTIF('Test Cases'!C2:C403,"Data Integrity")</f>
        <v/>
      </c>
    </row>
    <row r="9">
      <c r="A9" s="9" t="inlineStr">
        <is>
          <t xml:space="preserve">  Functional</t>
        </is>
      </c>
      <c r="B9" s="9">
        <f>COUNTIF('Test Cases'!C2:C403,"Functional")</f>
        <v/>
      </c>
    </row>
    <row r="10">
      <c r="A10" s="9" t="inlineStr">
        <is>
          <t xml:space="preserve">  Integration</t>
        </is>
      </c>
      <c r="B10" s="9">
        <f>COUNTIF('Test Cases'!C2:C403,"Integration")</f>
        <v/>
      </c>
    </row>
    <row r="11">
      <c r="A11" s="9" t="inlineStr">
        <is>
          <t xml:space="preserve">  Performance</t>
        </is>
      </c>
      <c r="B11" s="9">
        <f>COUNTIF('Test Cases'!C2:C403,"Performance")</f>
        <v/>
      </c>
    </row>
    <row r="12">
      <c r="A12" s="9" t="inlineStr">
        <is>
          <t xml:space="preserve">  Regression</t>
        </is>
      </c>
      <c r="B12" s="9">
        <f>COUNTIF('Test Cases'!C2:C403,"Regression")</f>
        <v/>
      </c>
    </row>
    <row r="13">
      <c r="A13" s="9" t="inlineStr">
        <is>
          <t xml:space="preserve">  Security</t>
        </is>
      </c>
      <c r="B13" s="9">
        <f>COUNTIF('Test Cases'!C2:C403,"Security")</f>
        <v/>
      </c>
    </row>
    <row r="14">
      <c r="A14" s="9" t="inlineStr">
        <is>
          <t xml:space="preserve">  UI/UX</t>
        </is>
      </c>
      <c r="B14" s="9">
        <f>COUNTIF('Test Cases'!C2:C403,"UI/UX")</f>
        <v/>
      </c>
    </row>
    <row r="16">
      <c r="A16" s="8" t="inlineStr">
        <is>
          <t>Por Prioridad</t>
        </is>
      </c>
      <c r="B16" s="9" t="n"/>
    </row>
    <row r="17">
      <c r="A17" s="9" t="inlineStr">
        <is>
          <t xml:space="preserve">  P0</t>
        </is>
      </c>
      <c r="B17" s="9">
        <f>COUNTIF('Test Cases'!M2:M403,"P0")</f>
        <v/>
      </c>
    </row>
    <row r="18">
      <c r="A18" s="9" t="inlineStr">
        <is>
          <t xml:space="preserve">  P1</t>
        </is>
      </c>
      <c r="B18" s="9">
        <f>COUNTIF('Test Cases'!M2:M403,"P1")</f>
        <v/>
      </c>
    </row>
    <row r="19">
      <c r="A19" s="9" t="inlineStr">
        <is>
          <t xml:space="preserve">  P2</t>
        </is>
      </c>
      <c r="B19" s="9">
        <f>COUNTIF('Test Cases'!M2:M403,"P2")</f>
        <v/>
      </c>
    </row>
    <row r="21">
      <c r="A21" s="8" t="inlineStr">
        <is>
          <t>Por Severidad</t>
        </is>
      </c>
      <c r="B21" s="9" t="n"/>
    </row>
    <row r="22">
      <c r="A22" s="9" t="inlineStr">
        <is>
          <t xml:space="preserve">  Critical</t>
        </is>
      </c>
      <c r="B22" s="9">
        <f>COUNTIF('Test Cases'!N2:N403,"Critical")</f>
        <v/>
      </c>
    </row>
    <row r="23">
      <c r="A23" s="9" t="inlineStr">
        <is>
          <t xml:space="preserve">  Major</t>
        </is>
      </c>
      <c r="B23" s="9">
        <f>COUNTIF('Test Cases'!N2:N403,"Major")</f>
        <v/>
      </c>
    </row>
    <row r="24">
      <c r="A24" s="9" t="inlineStr">
        <is>
          <t xml:space="preserve">  Medium</t>
        </is>
      </c>
      <c r="B24" s="9">
        <f>COUNTIF('Test Cases'!N2:N403,"Medium")</f>
        <v/>
      </c>
    </row>
    <row r="25">
      <c r="A25" s="9" t="inlineStr">
        <is>
          <t xml:space="preserve">  Low</t>
        </is>
      </c>
      <c r="B25" s="9">
        <f>COUNTIF('Test Cases'!N2:N403,"Low")</f>
        <v/>
      </c>
    </row>
    <row r="27">
      <c r="A27" s="8" t="inlineStr">
        <is>
          <t>Por Épica</t>
        </is>
      </c>
      <c r="B27" s="9" t="n"/>
    </row>
    <row r="28">
      <c r="A28" s="9" t="inlineStr">
        <is>
          <t xml:space="preserve">  EPIC-00</t>
        </is>
      </c>
      <c r="B28" s="9">
        <f>COUNTIF('Test Cases'!A2:A403,"EPIC-00")</f>
        <v/>
      </c>
    </row>
    <row r="29">
      <c r="A29" s="9" t="inlineStr">
        <is>
          <t xml:space="preserve">  EPIC-01</t>
        </is>
      </c>
      <c r="B29" s="9">
        <f>COUNTIF('Test Cases'!A2:A403,"EPIC-01")</f>
        <v/>
      </c>
    </row>
    <row r="30">
      <c r="A30" s="9" t="inlineStr">
        <is>
          <t xml:space="preserve">  EPIC-02</t>
        </is>
      </c>
      <c r="B30" s="9">
        <f>COUNTIF('Test Cases'!A2:A403,"EPIC-02")</f>
        <v/>
      </c>
    </row>
    <row r="31">
      <c r="A31" s="9" t="inlineStr">
        <is>
          <t xml:space="preserve">  EPIC-03</t>
        </is>
      </c>
      <c r="B31" s="9">
        <f>COUNTIF('Test Cases'!A2:A403,"EPIC-03")</f>
        <v/>
      </c>
    </row>
    <row r="32">
      <c r="A32" s="9" t="inlineStr">
        <is>
          <t xml:space="preserve">  EPIC-04</t>
        </is>
      </c>
      <c r="B32" s="9">
        <f>COUNTIF('Test Cases'!A2:A403,"EPIC-04")</f>
        <v/>
      </c>
    </row>
    <row r="33">
      <c r="A33" s="9" t="inlineStr">
        <is>
          <t xml:space="preserve">  EPIC-05</t>
        </is>
      </c>
      <c r="B33" s="9">
        <f>COUNTIF('Test Cases'!A2:A403,"EPIC-05")</f>
        <v/>
      </c>
    </row>
    <row r="34">
      <c r="A34" s="9" t="inlineStr">
        <is>
          <t xml:space="preserve">  EPIC-06</t>
        </is>
      </c>
      <c r="B34" s="9">
        <f>COUNTIF('Test Cases'!A2:A403,"EPIC-06")</f>
        <v/>
      </c>
    </row>
    <row r="35">
      <c r="A35" s="9" t="inlineStr">
        <is>
          <t xml:space="preserve">  EPIC-07</t>
        </is>
      </c>
      <c r="B35" s="9">
        <f>COUNTIF('Test Cases'!A2:A403,"EPIC-07")</f>
        <v/>
      </c>
    </row>
    <row r="36">
      <c r="A36" s="9" t="inlineStr">
        <is>
          <t xml:space="preserve">  EPIC-08</t>
        </is>
      </c>
      <c r="B36" s="9">
        <f>COUNTIF('Test Cases'!A2:A403,"EPIC-08")</f>
        <v/>
      </c>
    </row>
    <row r="37">
      <c r="A37" s="9" t="inlineStr">
        <is>
          <t xml:space="preserve">  EPIC-09</t>
        </is>
      </c>
      <c r="B37" s="9">
        <f>COUNTIF('Test Cases'!A2:A403,"EPIC-09")</f>
        <v/>
      </c>
    </row>
    <row r="38">
      <c r="A38" s="9" t="inlineStr">
        <is>
          <t xml:space="preserve">  EPIC-10</t>
        </is>
      </c>
      <c r="B38" s="9">
        <f>COUNTIF('Test Cases'!A2:A403,"EPIC-10")</f>
        <v/>
      </c>
    </row>
    <row r="39">
      <c r="A39" s="9" t="inlineStr">
        <is>
          <t xml:space="preserve">  EPIC-11</t>
        </is>
      </c>
      <c r="B39" s="9">
        <f>COUNTIF('Test Cases'!A2:A403,"EPIC-11")</f>
        <v/>
      </c>
    </row>
    <row r="40">
      <c r="A40" s="9" t="inlineStr">
        <is>
          <t xml:space="preserve">  EPIC-12</t>
        </is>
      </c>
      <c r="B40" s="9">
        <f>COUNTIF('Test Cases'!A2:A403,"EPIC-12")</f>
        <v/>
      </c>
    </row>
    <row r="42">
      <c r="A42" s="8" t="inlineStr">
        <is>
          <t>Ejecución</t>
        </is>
      </c>
      <c r="B42" s="9" t="n"/>
    </row>
    <row r="43">
      <c r="A43" s="9" t="inlineStr">
        <is>
          <t xml:space="preserve">  Pass</t>
        </is>
      </c>
      <c r="B43" s="9">
        <f>COUNTIF('Test Cases'!L2:L403,"Pass")</f>
        <v/>
      </c>
    </row>
    <row r="44">
      <c r="A44" s="9" t="inlineStr">
        <is>
          <t xml:space="preserve">  Fail</t>
        </is>
      </c>
      <c r="B44" s="9">
        <f>COUNTIF('Test Cases'!L2:L403,"Fail")</f>
        <v/>
      </c>
    </row>
    <row r="45">
      <c r="A45" s="9" t="inlineStr">
        <is>
          <t xml:space="preserve">  Blocked</t>
        </is>
      </c>
      <c r="B45" s="9">
        <f>COUNTIF('Test Cases'!L2:L403,"Blocked")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2026-07-02T21:38:43Z</dcterms:created>
  <dcterms:modified xsi:type="dcterms:W3CDTF">2026-07-02T21:38:43Z</dcterms:modified>
</cp:coreProperties>
</file>